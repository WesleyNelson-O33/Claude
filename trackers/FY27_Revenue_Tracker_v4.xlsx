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Lists" sheetId="2" state="visible" r:id="rId2"/>
    <sheet name="Data" sheetId="3" state="visible" r:id="rId3"/>
    <sheet name="Dashboard" sheetId="4" state="visible" r:id="rId4"/>
    <sheet name="Checks" sheetId="5" state="visible" r:id="rId5"/>
    <sheet name="Legacy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m-yy"/>
    <numFmt numFmtId="166" formatCode="_($* #,##0.00_);_($* (#,##0.00);_($* &quot;-&quot;??_);_(@_)"/>
    <numFmt numFmtId="167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3E5066"/>
      <sz val="11"/>
    </font>
    <font>
      <name val="Arial"/>
      <color rgb="000000FF"/>
      <sz val="10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55555"/>
      <sz val="9"/>
    </font>
    <font>
      <name val="Arial"/>
      <b val="1"/>
      <color rgb="003E5066"/>
      <sz val="13"/>
    </font>
    <font>
      <name val="Arial"/>
      <b val="1"/>
      <sz val="10"/>
    </font>
    <font>
      <name val="Arial"/>
      <b val="1"/>
      <color rgb="003E5066"/>
      <sz val="16"/>
    </font>
  </fonts>
  <fills count="7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3E5066"/>
      </patternFill>
    </fill>
    <fill>
      <patternFill patternType="solid">
        <fgColor rgb="00747474"/>
      </patternFill>
    </fill>
    <fill>
      <patternFill patternType="solid">
        <fgColor rgb="005B708A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8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0" borderId="0" pivotButton="0" quotePrefix="0" xfId="0"/>
    <xf numFmtId="165" fontId="2" fillId="2" borderId="1" pivotButton="0" quotePrefix="0" xfId="0"/>
    <xf numFmtId="0" fontId="3" fillId="3" borderId="1" applyAlignment="1" pivotButton="0" quotePrefix="0" xfId="0">
      <alignment horizontal="center"/>
    </xf>
    <xf numFmtId="0" fontId="4" fillId="0" borderId="1" pivotButton="0" quotePrefix="0" xfId="0"/>
    <xf numFmtId="0" fontId="5" fillId="0" borderId="0" pivotButton="0" quotePrefix="0" xfId="0"/>
    <xf numFmtId="0" fontId="3" fillId="4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6" fontId="4" fillId="0" borderId="1" applyAlignment="1" pivotButton="0" quotePrefix="0" xfId="0">
      <alignment horizontal="left" vertical="center"/>
    </xf>
    <xf numFmtId="166" fontId="4" fillId="6" borderId="1" applyAlignment="1" pivotButton="0" quotePrefix="0" xfId="0">
      <alignment horizontal="left" vertical="center"/>
    </xf>
    <xf numFmtId="167" fontId="4" fillId="6" borderId="1" applyAlignment="1" pivotButton="0" quotePrefix="0" xfId="0">
      <alignment horizontal="left" vertical="center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17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right" vertical="center"/>
    </xf>
    <xf numFmtId="166" fontId="2" fillId="2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center" vertical="center"/>
    </xf>
    <xf numFmtId="166" fontId="7" fillId="6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6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166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blRevenue" displayName="tblRevenue" ref="A1:AN182" headerRowCount="1">
  <autoFilter ref="A1:AN182"/>
  <tableColumns count="40">
    <tableColumn id="1" name="No.">
      <calculatedColumnFormula>IF(COUNTA($B2:$K2)=0,"",ROW()-1)</calculatedColumnFormula>
    </tableColumn>
    <tableColumn id="2" name="Type"/>
    <tableColumn id="3" name="Date"/>
    <tableColumn id="4" name="Department"/>
    <tableColumn id="5" name="Reports as">
      <calculatedColumnFormula>IF($B2="","",IF($B2="WIP","WIP",IFERROR(INDEX(Lists!$G$4:$G$10,MATCH($D2,Lists!$F$4:$F$10,0)),"Unmapped")))</calculatedColumnFormula>
    </tableColumn>
    <tableColumn id="6" name="Status"/>
    <tableColumn id="7" name="Client"/>
    <tableColumn id="8" name="Job Number"/>
    <tableColumn id="9" name="Description"/>
    <tableColumn id="10" name="Invoice Number"/>
    <tableColumn id="11" name="Amount"/>
    <tableColumn id="12" name="Net Revenue">
      <calculatedColumnFormula>IF($K2="","",IF($E2="Production",$K2-N($AD2),$K2))</calculatedColumnFormula>
    </tableColumn>
    <tableColumn id="13" name="Margin">
      <calculatedColumnFormula>IF($E2="Production",IF($K2="","",$K2-(N($AF2)+N($AG2))),IF($E2="Consulting",IF($K2="","",$K2-(N($AL2)+N($AM2)+N($AN2))),""))</calculatedColumnFormula>
    </tableColumn>
    <tableColumn id="14" name="Margin %">
      <calculatedColumnFormula>IFERROR($M2/$K2,"")</calculatedColumnFormula>
    </tableColumn>
    <tableColumn id="15" name="Date Check">
      <calculatedColumnFormula>IF(COUNTA($B2:$K2)=0,"",IF($C2="","No date",IF(AND($C2&gt;=Lists!$B$3,$C2&lt;Lists!$B$4),"In FY27","Outside FY27")))</calculatedColumnFormula>
    </tableColumn>
    <tableColumn id="16" name="Duplicate Check">
      <calculatedColumnFormula>IF($E2&lt;&gt;"WIP","",IF($H2="","",IF(COUNTIFS($E$2:$E$20000,"&lt;&gt;WIP",$H$2:$H$20000,$H2)&gt;0,"Job already invoiced","")))</calculatedColumnFormula>
    </tableColumn>
    <tableColumn id="17" name="Notes"/>
    <tableColumn id="18" name="Client Email"/>
    <tableColumn id="19" name="Event Date"/>
    <tableColumn id="20" name="Zoho Number"/>
    <tableColumn id="21" name="Current Number"/>
    <tableColumn id="22" name="Closed"/>
    <tableColumn id="23" name="Invoice Posted to Xero"/>
    <tableColumn id="24" name="Video Filming"/>
    <tableColumn id="25" name="Video Editing"/>
    <tableColumn id="26" name="Project Management"/>
    <tableColumn id="27" name="Video Project Management"/>
    <tableColumn id="28" name="Production Labour Hours"/>
    <tableColumn id="29" name="Video Total"/>
    <tableColumn id="30" name="Discounts Included"/>
    <tableColumn id="31" name="Discounts as % of Net">
      <calculatedColumnFormula>IF($E2&lt;&gt;"Production","",IFERROR($AD2/$L2,""))</calculatedColumnFormula>
    </tableColumn>
    <tableColumn id="32" name="Cross Hire Expense"/>
    <tableColumn id="33" name="Labour Expense (Internal)"/>
    <tableColumn id="34" name="Qwilr Link"/>
    <tableColumn id="35" name="Labour Revenue"/>
    <tableColumn id="36" name="Equipment Revenue"/>
    <tableColumn id="37" name="Subscription Revenue"/>
    <tableColumn id="38" name="Labour Expense (External)"/>
    <tableColumn id="39" name="Equipment Expense (Internal)"/>
    <tableColumn id="40" name="Subscription &amp; Licences Expense"/>
  </tableColumns>
  <tableStyleInfo name="TableStyleLight1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003E5066"/>
    <outlinePr summaryBelow="1" summaryRight="1"/>
    <pageSetUpPr/>
  </sheetPr>
  <dimension ref="B2:B5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2" customWidth="1" min="2" max="2"/>
  </cols>
  <sheetData>
    <row r="2" ht="26" customHeight="1">
      <c r="B2" s="1" t="inlineStr">
        <is>
          <t>FY 2026-27 Revenue Tracker</t>
        </is>
      </c>
    </row>
    <row r="3" ht="13" customHeight="1">
      <c r="B3" s="2" t="inlineStr">
        <is>
          <t>Rebuilt from FY27_Revenue_Tracker_v2.xlsm. Your original file has not been changed.</t>
        </is>
      </c>
    </row>
    <row r="4" ht="13" customHeight="1">
      <c r="B4" s="3" t="inlineStr"/>
    </row>
    <row r="5" ht="13" customHeight="1">
      <c r="B5" s="4" t="inlineStr">
        <is>
          <t>How a record works</t>
        </is>
      </c>
    </row>
    <row r="6" ht="13" customHeight="1">
      <c r="B6" s="3" t="inlineStr">
        <is>
          <t>Every record needs two things: a Type and a Department. Between them they decide which Dashboard</t>
        </is>
      </c>
    </row>
    <row r="7" ht="13" customHeight="1">
      <c r="B7" s="3" t="inlineStr">
        <is>
          <t>column the money lands in.</t>
        </is>
      </c>
    </row>
    <row r="8" ht="13" customHeight="1">
      <c r="B8" s="3" t="inlineStr"/>
    </row>
    <row r="9" ht="13" customHeight="1">
      <c r="B9" s="3" t="inlineStr">
        <is>
          <t xml:space="preserve">    Type            Invoice or WIP. Pick WIP for a work-in-progress movement, Invoice for everything else.</t>
        </is>
      </c>
    </row>
    <row r="10" ht="13" customHeight="1">
      <c r="B10" s="3" t="inlineStr">
        <is>
          <t xml:space="preserve">    Department      Consulting, Integration, Onsite, Other, Production, Support or Video.</t>
        </is>
      </c>
    </row>
    <row r="11" ht="13" customHeight="1">
      <c r="B11" s="3" t="inlineStr">
        <is>
          <t xml:space="preserve">    Amount          One column, always. For a WIP record this is the movement, and it can be negative.</t>
        </is>
      </c>
    </row>
    <row r="12" ht="13" customHeight="1">
      <c r="B12" s="3" t="inlineStr"/>
    </row>
    <row r="13" ht="13" customHeight="1">
      <c r="B13" s="3" t="inlineStr">
        <is>
          <t>"Reports as" is calculated for you and shows which Dashboard column the record feeds. Type WIP always</t>
        </is>
      </c>
    </row>
    <row r="14" ht="13" customHeight="1">
      <c r="B14" s="3" t="inlineStr">
        <is>
          <t>reports as WIP whatever the department. Otherwise the department decides: Support goes to Support,</t>
        </is>
      </c>
    </row>
    <row r="15" ht="13" customHeight="1">
      <c r="B15" s="3" t="inlineStr">
        <is>
          <t>Consulting and Integration go to Consulting, and Production, Video, Other and Onsite go to Production.</t>
        </is>
      </c>
    </row>
    <row r="16" ht="13" customHeight="1">
      <c r="B16" s="3" t="inlineStr">
        <is>
          <t>That mapping is on the Lists tab if you ever need to change it.</t>
        </is>
      </c>
    </row>
    <row r="17" ht="13" customHeight="1">
      <c r="B17" s="3" t="inlineStr"/>
    </row>
    <row r="18" ht="13" customHeight="1">
      <c r="B18" s="4" t="inlineStr">
        <is>
          <t>Typing a new record</t>
        </is>
      </c>
    </row>
    <row r="19" ht="13" customHeight="1">
      <c r="B19" s="3" t="inlineStr">
        <is>
          <t>Click the first empty row under the table and start typing. The table extends itself and every grey</t>
        </is>
      </c>
    </row>
    <row r="20" ht="13" customHeight="1">
      <c r="B20" s="3" t="inlineStr">
        <is>
          <t>column fills in automatically. Grey columns are calculated — do not type in them.</t>
        </is>
      </c>
    </row>
    <row r="21" ht="13" customHeight="1">
      <c r="B21" s="3" t="inlineStr"/>
    </row>
    <row r="22" ht="13" customHeight="1">
      <c r="B22" s="3" t="inlineStr">
        <is>
          <t xml:space="preserve">    Reports as      Which Dashboard column this record feeds.</t>
        </is>
      </c>
    </row>
    <row r="23" ht="13" customHeight="1">
      <c r="B23" s="3" t="inlineStr">
        <is>
          <t xml:space="preserve">    Net Revenue     What actually rolls up. Production deducts Discounts Included; everything else is Amount.</t>
        </is>
      </c>
    </row>
    <row r="24" ht="13" customHeight="1">
      <c r="B24" s="3" t="inlineStr">
        <is>
          <t xml:space="preserve">    Margin          Production: Amount less Cross Hire and Internal Labour. Consulting: Amount less the</t>
        </is>
      </c>
    </row>
    <row r="25" ht="13" customHeight="1">
      <c r="B25" s="3" t="inlineStr">
        <is>
          <t xml:space="preserve">                    three expense columns.</t>
        </is>
      </c>
    </row>
    <row r="26" ht="13" customHeight="1">
      <c r="B26" s="3" t="inlineStr">
        <is>
          <t xml:space="preserve">    Date Check      Flags "No date" or "Outside FY27" so nothing goes missing silently.</t>
        </is>
      </c>
    </row>
    <row r="27" ht="13" customHeight="1">
      <c r="B27" s="3" t="inlineStr">
        <is>
          <t xml:space="preserve">    Duplicate Check Flags a WIP job that has already been invoiced somewhere else.</t>
        </is>
      </c>
    </row>
    <row r="28" ht="13" customHeight="1">
      <c r="B28" s="3" t="inlineStr"/>
    </row>
    <row r="29" ht="13" customHeight="1">
      <c r="B29" s="3" t="inlineStr">
        <is>
          <t>To see one department or one report line, click the filter arrow in its header. The Production and</t>
        </is>
      </c>
    </row>
    <row r="30" ht="13" customHeight="1">
      <c r="B30" s="3" t="inlineStr">
        <is>
          <t>Consulting detail columns are grouped — use the + and - buttons above the column letters to collapse them.</t>
        </is>
      </c>
    </row>
    <row r="31" ht="13" customHeight="1">
      <c r="B31" s="3" t="inlineStr"/>
    </row>
    <row r="32" ht="13" customHeight="1">
      <c r="B32" s="4" t="inlineStr">
        <is>
          <t>The tabs</t>
        </is>
      </c>
    </row>
    <row r="33" ht="13" customHeight="1">
      <c r="B33" s="3" t="inlineStr">
        <is>
          <t>Data            Every record, one row each. 181 brought across from the old file.</t>
        </is>
      </c>
    </row>
    <row r="34" ht="13" customHeight="1">
      <c r="B34" s="3" t="inlineStr">
        <is>
          <t>Dashboard       Revenue by month and report line, plus the reconciliation. Type the P&amp;L Total; nothing else.</t>
        </is>
      </c>
    </row>
    <row r="35" ht="13" customHeight="1">
      <c r="B35" s="3" t="inlineStr">
        <is>
          <t>Checks          Live data quality checks. Look here first each month.</t>
        </is>
      </c>
    </row>
    <row r="36" ht="13" customHeight="1">
      <c r="B36" s="3" t="inlineStr">
        <is>
          <t>Legacy Notes    The comments recovered from the old file, for you to reattach.</t>
        </is>
      </c>
    </row>
    <row r="37" ht="13" customHeight="1">
      <c r="B37" s="3" t="inlineStr">
        <is>
          <t>Lists           Dropdown values, the department mapping, and the financial year dates.</t>
        </is>
      </c>
    </row>
    <row r="38" ht="13" customHeight="1">
      <c r="B38" s="3" t="inlineStr"/>
    </row>
    <row r="39" ht="13" customHeight="1">
      <c r="B39" s="4" t="inlineStr">
        <is>
          <t>Carried across, still needing a decision</t>
        </is>
      </c>
    </row>
    <row r="40" ht="13" customHeight="1">
      <c r="B40" s="3" t="inlineStr">
        <is>
          <t>None of these have been changed. They are flagged so you can decide.</t>
        </is>
      </c>
    </row>
    <row r="41" ht="13" customHeight="1">
      <c r="B41" s="3" t="inlineStr"/>
    </row>
    <row r="42" ht="13" customHeight="1">
      <c r="B42" s="3" t="inlineStr">
        <is>
          <t>1.  29 records have no date, so they appear in no month. See Checks.</t>
        </is>
      </c>
    </row>
    <row r="43" ht="13" customHeight="1">
      <c r="B43" s="3" t="inlineStr">
        <is>
          <t>2.  16 Consulting records carry FY26 dates, May 2025 to June 2026. The old file lumped these in with the</t>
        </is>
      </c>
    </row>
    <row r="44" ht="13" customHeight="1">
      <c r="B44" s="3" t="inlineStr">
        <is>
          <t xml:space="preserve">    undated ones and called them all "Undated", which hid the problem. They are shown separately now.</t>
        </is>
      </c>
    </row>
    <row r="45" ht="13" customHeight="1">
      <c r="B45" s="3" t="inlineStr">
        <is>
          <t>3.  Five WIP jobs have also been invoiced. One is a clean reversal, the rest are not. See Checks.</t>
        </is>
      </c>
    </row>
    <row r="46" ht="13" customHeight="1">
      <c r="B46" s="3" t="inlineStr">
        <is>
          <t>4.  One record has the department "Onsite", which was on no list in the old file. It has been kept and</t>
        </is>
      </c>
    </row>
    <row r="47" ht="13" customHeight="1">
      <c r="B47" s="3" t="inlineStr">
        <is>
          <t xml:space="preserve">    added to the Lists tab so nothing was lost. Reclassify it if it should be something else.</t>
        </is>
      </c>
    </row>
    <row r="48" ht="13" customHeight="1">
      <c r="B48" s="3" t="inlineStr">
        <is>
          <t>5.  Margin on Production is calculated from Amount, not from Net Revenue, so discounts are not deducted</t>
        </is>
      </c>
    </row>
    <row r="49" ht="13" customHeight="1">
      <c r="B49" s="3" t="inlineStr">
        <is>
          <t xml:space="preserve">    before margin. That is how the old file did it. Worth checking it is what you want.</t>
        </is>
      </c>
    </row>
    <row r="50" ht="13" customHeight="1">
      <c r="B50" s="3" t="inlineStr"/>
    </row>
    <row r="51" ht="13" customHeight="1">
      <c r="B51" s="4" t="inlineStr">
        <is>
          <t>One thing to know about the numbers</t>
        </is>
      </c>
    </row>
    <row r="52" ht="13" customHeight="1">
      <c r="B52" s="3" t="inlineStr">
        <is>
          <t>The old file was showing stale Production figures, about $26,792 higher than its own formulas produced.</t>
        </is>
      </c>
    </row>
    <row r="53" ht="13" customHeight="1">
      <c r="B53" s="3" t="inlineStr">
        <is>
          <t>Everything here is calculated fresh, so July and August Production read lower. The lower ones are correct.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E5066"/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4" max="4"/>
    <col width="16" customWidth="1" min="6" max="6"/>
    <col width="16" customWidth="1" min="7" max="7"/>
    <col width="16" customWidth="1" min="9" max="9"/>
    <col width="12" customWidth="1" min="11" max="11"/>
  </cols>
  <sheetData>
    <row r="1">
      <c r="A1" s="5" t="inlineStr">
        <is>
          <t>Control values — edit here and every dropdown, check and report line follows</t>
        </is>
      </c>
    </row>
    <row r="3">
      <c r="A3" t="inlineStr">
        <is>
          <t>Financial year start</t>
        </is>
      </c>
      <c r="B3" s="6" t="n">
        <v>46204</v>
      </c>
      <c r="D3" s="7" t="inlineStr">
        <is>
          <t>Type</t>
        </is>
      </c>
      <c r="F3" s="7" t="inlineStr">
        <is>
          <t>Department</t>
        </is>
      </c>
      <c r="G3" s="7" t="inlineStr">
        <is>
          <t>Reports as</t>
        </is>
      </c>
      <c r="I3" s="7" t="inlineStr">
        <is>
          <t>Status</t>
        </is>
      </c>
      <c r="K3" s="7" t="inlineStr">
        <is>
          <t>Yes / No</t>
        </is>
      </c>
    </row>
    <row r="4">
      <c r="A4" t="inlineStr">
        <is>
          <t>Financial year end (excl.)</t>
        </is>
      </c>
      <c r="B4" s="6" t="n">
        <v>46569</v>
      </c>
      <c r="D4" s="8" t="inlineStr">
        <is>
          <t>Invoice</t>
        </is>
      </c>
      <c r="F4" s="8" t="inlineStr">
        <is>
          <t>Consulting</t>
        </is>
      </c>
      <c r="G4" s="8" t="inlineStr">
        <is>
          <t>Consulting</t>
        </is>
      </c>
      <c r="I4" s="8" t="inlineStr">
        <is>
          <t>In Progress</t>
        </is>
      </c>
      <c r="K4" s="8" t="inlineStr">
        <is>
          <t>Y</t>
        </is>
      </c>
    </row>
    <row r="5">
      <c r="D5" s="8" t="inlineStr">
        <is>
          <t>WIP</t>
        </is>
      </c>
      <c r="F5" s="8" t="inlineStr">
        <is>
          <t>Integration</t>
        </is>
      </c>
      <c r="G5" s="8" t="inlineStr">
        <is>
          <t>Consulting</t>
        </is>
      </c>
      <c r="I5" s="8" t="inlineStr">
        <is>
          <t>Completed</t>
        </is>
      </c>
      <c r="K5" s="8" t="inlineStr">
        <is>
          <t>N</t>
        </is>
      </c>
    </row>
    <row r="6">
      <c r="F6" s="8" t="inlineStr">
        <is>
          <t>Onsite</t>
        </is>
      </c>
      <c r="G6" s="8" t="inlineStr">
        <is>
          <t>Production</t>
        </is>
      </c>
      <c r="I6" s="8" t="inlineStr">
        <is>
          <t>Cancelled</t>
        </is>
      </c>
    </row>
    <row r="7">
      <c r="F7" s="8" t="inlineStr">
        <is>
          <t>Other</t>
        </is>
      </c>
      <c r="G7" s="8" t="inlineStr">
        <is>
          <t>Production</t>
        </is>
      </c>
      <c r="I7" s="8" t="inlineStr">
        <is>
          <t>Closed</t>
        </is>
      </c>
    </row>
    <row r="8">
      <c r="F8" s="8" t="inlineStr">
        <is>
          <t>Production</t>
        </is>
      </c>
      <c r="G8" s="8" t="inlineStr">
        <is>
          <t>Production</t>
        </is>
      </c>
    </row>
    <row r="9">
      <c r="F9" s="8" t="inlineStr">
        <is>
          <t>Support</t>
        </is>
      </c>
      <c r="G9" s="8" t="inlineStr">
        <is>
          <t>Support</t>
        </is>
      </c>
    </row>
    <row r="10">
      <c r="F10" s="8" t="inlineStr">
        <is>
          <t>Video</t>
        </is>
      </c>
      <c r="G10" s="8" t="inlineStr">
        <is>
          <t>Production</t>
        </is>
      </c>
    </row>
    <row r="12">
      <c r="F12" s="9" t="inlineStr">
        <is>
          <t>A record whose Type is WIP always reports as WIP, whatever its department.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E5066"/>
    <outlinePr summaryBelow="1" summaryRight="0"/>
    <pageSetUpPr/>
  </sheetPr>
  <dimension ref="A1:AN182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1" customWidth="1" min="3" max="3"/>
    <col width="13" customWidth="1" min="4" max="4"/>
    <col width="12" customWidth="1" min="5" max="5"/>
    <col width="12" customWidth="1" min="6" max="6"/>
    <col width="22" customWidth="1" min="7" max="7"/>
    <col width="13" customWidth="1" min="8" max="8"/>
    <col width="40" customWidth="1" min="9" max="9"/>
    <col width="15" customWidth="1" min="10" max="10"/>
    <col width="14" customWidth="1" min="11" max="11"/>
    <col width="14" customWidth="1" min="12" max="12"/>
    <col width="13" customWidth="1" min="13" max="13"/>
    <col width="10" customWidth="1" min="14" max="14"/>
    <col width="13" customWidth="1" min="15" max="15"/>
    <col width="19" customWidth="1" min="16" max="16"/>
    <col width="34" customWidth="1" min="17" max="17"/>
    <col outlineLevel="1" width="26" customWidth="1" min="18" max="33"/>
    <col outlineLevel="1" width="34" customWidth="1" min="34" max="40"/>
  </cols>
  <sheetData>
    <row r="1" ht="46" customHeight="1">
      <c r="A1" s="10" t="inlineStr">
        <is>
          <t>No.</t>
        </is>
      </c>
      <c r="B1" s="11" t="inlineStr">
        <is>
          <t>Type</t>
        </is>
      </c>
      <c r="C1" s="11" t="inlineStr">
        <is>
          <t>Date</t>
        </is>
      </c>
      <c r="D1" s="11" t="inlineStr">
        <is>
          <t>Department</t>
        </is>
      </c>
      <c r="E1" s="10" t="inlineStr">
        <is>
          <t>Reports as</t>
        </is>
      </c>
      <c r="F1" s="11" t="inlineStr">
        <is>
          <t>Status</t>
        </is>
      </c>
      <c r="G1" s="11" t="inlineStr">
        <is>
          <t>Client</t>
        </is>
      </c>
      <c r="H1" s="11" t="inlineStr">
        <is>
          <t>Job Number</t>
        </is>
      </c>
      <c r="I1" s="11" t="inlineStr">
        <is>
          <t>Description</t>
        </is>
      </c>
      <c r="J1" s="11" t="inlineStr">
        <is>
          <t>Invoice Number</t>
        </is>
      </c>
      <c r="K1" s="11" t="inlineStr">
        <is>
          <t>Amount</t>
        </is>
      </c>
      <c r="L1" s="10" t="inlineStr">
        <is>
          <t>Net Revenue</t>
        </is>
      </c>
      <c r="M1" s="10" t="inlineStr">
        <is>
          <t>Margin</t>
        </is>
      </c>
      <c r="N1" s="10" t="inlineStr">
        <is>
          <t>Margin %</t>
        </is>
      </c>
      <c r="O1" s="10" t="inlineStr">
        <is>
          <t>Date Check</t>
        </is>
      </c>
      <c r="P1" s="10" t="inlineStr">
        <is>
          <t>Duplicate Check</t>
        </is>
      </c>
      <c r="Q1" s="11" t="inlineStr">
        <is>
          <t>Notes</t>
        </is>
      </c>
      <c r="R1" s="12" t="inlineStr">
        <is>
          <t>Client Email</t>
        </is>
      </c>
      <c r="S1" s="12" t="inlineStr">
        <is>
          <t>Event Date</t>
        </is>
      </c>
      <c r="T1" s="12" t="inlineStr">
        <is>
          <t>Zoho Number</t>
        </is>
      </c>
      <c r="U1" s="12" t="inlineStr">
        <is>
          <t>Current Number</t>
        </is>
      </c>
      <c r="V1" s="12" t="inlineStr">
        <is>
          <t>Closed</t>
        </is>
      </c>
      <c r="W1" s="12" t="inlineStr">
        <is>
          <t>Invoice Posted to Xero</t>
        </is>
      </c>
      <c r="X1" s="12" t="inlineStr">
        <is>
          <t>Video Filming</t>
        </is>
      </c>
      <c r="Y1" s="12" t="inlineStr">
        <is>
          <t>Video Editing</t>
        </is>
      </c>
      <c r="Z1" s="12" t="inlineStr">
        <is>
          <t>Project Management</t>
        </is>
      </c>
      <c r="AA1" s="12" t="inlineStr">
        <is>
          <t>Video Project Management</t>
        </is>
      </c>
      <c r="AB1" s="12" t="inlineStr">
        <is>
          <t>Production Labour Hours</t>
        </is>
      </c>
      <c r="AC1" s="12" t="inlineStr">
        <is>
          <t>Video Total</t>
        </is>
      </c>
      <c r="AD1" s="12" t="inlineStr">
        <is>
          <t>Discounts Included</t>
        </is>
      </c>
      <c r="AE1" s="10" t="inlineStr">
        <is>
          <t>Discounts as % of Net</t>
        </is>
      </c>
      <c r="AF1" s="12" t="inlineStr">
        <is>
          <t>Cross Hire Expense</t>
        </is>
      </c>
      <c r="AG1" s="12" t="inlineStr">
        <is>
          <t>Labour Expense (Internal)</t>
        </is>
      </c>
      <c r="AH1" s="11" t="inlineStr">
        <is>
          <t>Qwilr Link</t>
        </is>
      </c>
      <c r="AI1" s="11" t="inlineStr">
        <is>
          <t>Labour Revenue</t>
        </is>
      </c>
      <c r="AJ1" s="11" t="inlineStr">
        <is>
          <t>Equipment Revenue</t>
        </is>
      </c>
      <c r="AK1" s="11" t="inlineStr">
        <is>
          <t>Subscription Revenue</t>
        </is>
      </c>
      <c r="AL1" s="11" t="inlineStr">
        <is>
          <t>Labour Expense (External)</t>
        </is>
      </c>
      <c r="AM1" s="11" t="inlineStr">
        <is>
          <t>Equipment Expense (Internal)</t>
        </is>
      </c>
      <c r="AN1" s="11" t="inlineStr">
        <is>
          <t>Subscription &amp; Licences Expense</t>
        </is>
      </c>
    </row>
    <row r="2" ht="15" customHeight="1">
      <c r="A2" s="13">
        <f>IF(COUNTA($B2:$K2)=0,"",ROW()-1)</f>
        <v/>
      </c>
      <c r="B2" s="14" t="inlineStr">
        <is>
          <t>Invoice</t>
        </is>
      </c>
      <c r="C2" s="15" t="n">
        <v>46234</v>
      </c>
      <c r="D2" s="16" t="inlineStr">
        <is>
          <t>Support</t>
        </is>
      </c>
      <c r="E2" s="13">
        <f>IF($B2="","",IF($B2="WIP","WIP",IFERROR(INDEX(Lists!$G$4:$G$10,MATCH($D2,Lists!$F$4:$F$10,0)),"Unmapped")))</f>
        <v/>
      </c>
      <c r="F2" s="16" t="n"/>
      <c r="G2" s="16" t="inlineStr">
        <is>
          <t>CBA</t>
        </is>
      </c>
      <c r="H2" s="14" t="inlineStr">
        <is>
          <t>1350</t>
        </is>
      </c>
      <c r="I2" s="16" t="inlineStr">
        <is>
          <t>CBA BNE July 2026</t>
        </is>
      </c>
      <c r="J2" s="14" t="inlineStr">
        <is>
          <t>INV-10525</t>
        </is>
      </c>
      <c r="K2" s="17" t="n">
        <v>8588.450000000001</v>
      </c>
      <c r="L2" s="18">
        <f>IF($K2="","",IF($E2="Production",$K2-N($AD2),$K2))</f>
        <v/>
      </c>
      <c r="M2" s="18">
        <f>IF($E2="Production",IF($K2="","",$K2-(N($AF2)+N($AG2))),IF($E2="Consulting",IF($K2="","",$K2-(N($AL2)+N($AM2)+N($AN2))),""))</f>
        <v/>
      </c>
      <c r="N2" s="19">
        <f>IFERROR($M2/$K2,"")</f>
        <v/>
      </c>
      <c r="O2" s="13">
        <f>IF(COUNTA($B2:$K2)=0,"",IF($C2="","No date",IF(AND($C2&gt;=Lists!$B$3,$C2&lt;Lists!$B$4),"In FY27","Outside FY27")))</f>
        <v/>
      </c>
      <c r="P2" s="13">
        <f>IF($E2&lt;&gt;"WIP","",IF($H2="","",IF(COUNTIFS($E$2:$E$20000,"&lt;&gt;WIP",$H$2:$H$20000,$H2)&gt;0,"Job already invoiced","")))</f>
        <v/>
      </c>
      <c r="Q2" s="16" t="inlineStr">
        <is>
          <t>174.05 hours</t>
        </is>
      </c>
      <c r="R2" s="16" t="n"/>
      <c r="S2" s="15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7" t="n"/>
      <c r="AD2" s="17" t="n"/>
      <c r="AE2" s="19">
        <f>IF($E2&lt;&gt;"Production","",IFERROR($AD2/$L2,""))</f>
        <v/>
      </c>
      <c r="AF2" s="17" t="n"/>
      <c r="AG2" s="17" t="n"/>
      <c r="AH2" s="16" t="n"/>
      <c r="AI2" s="17" t="n"/>
      <c r="AJ2" s="17" t="n"/>
      <c r="AK2" s="17" t="n"/>
      <c r="AL2" s="17" t="n"/>
      <c r="AM2" s="17" t="n"/>
      <c r="AN2" s="17" t="n"/>
    </row>
    <row r="3" ht="15" customHeight="1">
      <c r="A3" s="13">
        <f>IF(COUNTA($B3:$K3)=0,"",ROW()-1)</f>
        <v/>
      </c>
      <c r="B3" s="14" t="inlineStr">
        <is>
          <t>Invoice</t>
        </is>
      </c>
      <c r="C3" s="15" t="n">
        <v>46234</v>
      </c>
      <c r="D3" s="16" t="inlineStr">
        <is>
          <t>Support</t>
        </is>
      </c>
      <c r="E3" s="13">
        <f>IF($B3="","",IF($B3="WIP","WIP",IFERROR(INDEX(Lists!$G$4:$G$10,MATCH($D3,Lists!$F$4:$F$10,0)),"Unmapped")))</f>
        <v/>
      </c>
      <c r="F3" s="16" t="n"/>
      <c r="G3" s="16" t="inlineStr">
        <is>
          <t>CBA</t>
        </is>
      </c>
      <c r="H3" s="14" t="inlineStr">
        <is>
          <t>585/586/1755</t>
        </is>
      </c>
      <c r="I3" s="16" t="inlineStr">
        <is>
          <t>CBP July 2026</t>
        </is>
      </c>
      <c r="J3" s="14" t="inlineStr">
        <is>
          <t>INV-10526</t>
        </is>
      </c>
      <c r="K3" s="17" t="n">
        <v>22120.57</v>
      </c>
      <c r="L3" s="18">
        <f>IF($K3="","",IF($E3="Production",$K3-N($AD3),$K3))</f>
        <v/>
      </c>
      <c r="M3" s="18">
        <f>IF($E3="Production",IF($K3="","",$K3-(N($AF3)+N($AG3))),IF($E3="Consulting",IF($K3="","",$K3-(N($AL3)+N($AM3)+N($AN3))),""))</f>
        <v/>
      </c>
      <c r="N3" s="19">
        <f>IFERROR($M3/$K3,"")</f>
        <v/>
      </c>
      <c r="O3" s="13">
        <f>IF(COUNTA($B3:$K3)=0,"",IF($C3="","No date",IF(AND($C3&gt;=Lists!$B$3,$C3&lt;Lists!$B$4),"In FY27","Outside FY27")))</f>
        <v/>
      </c>
      <c r="P3" s="13">
        <f>IF($E3&lt;&gt;"WIP","",IF($H3="","",IF(COUNTIFS($E$2:$E$20000,"&lt;&gt;WIP",$H$2:$H$20000,$H3)&gt;0,"Job already invoiced","")))</f>
        <v/>
      </c>
      <c r="Q3" s="16" t="inlineStr">
        <is>
          <t>Deduct 3hrs for TN 01/07 &amp; 6hrs for NP 14/07</t>
        </is>
      </c>
      <c r="R3" s="16" t="n"/>
      <c r="S3" s="15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7" t="n"/>
      <c r="AD3" s="17" t="n"/>
      <c r="AE3" s="19">
        <f>IF($E3&lt;&gt;"Production","",IFERROR($AD3/$L3,""))</f>
        <v/>
      </c>
      <c r="AF3" s="17" t="n"/>
      <c r="AG3" s="17" t="n"/>
      <c r="AH3" s="16" t="n"/>
      <c r="AI3" s="17" t="n"/>
      <c r="AJ3" s="17" t="n"/>
      <c r="AK3" s="17" t="n"/>
      <c r="AL3" s="17" t="n"/>
      <c r="AM3" s="17" t="n"/>
      <c r="AN3" s="17" t="n"/>
    </row>
    <row r="4" ht="15" customHeight="1">
      <c r="A4" s="13">
        <f>IF(COUNTA($B4:$K4)=0,"",ROW()-1)</f>
        <v/>
      </c>
      <c r="B4" s="14" t="inlineStr">
        <is>
          <t>Invoice</t>
        </is>
      </c>
      <c r="C4" s="15" t="n">
        <v>46234</v>
      </c>
      <c r="D4" s="16" t="inlineStr">
        <is>
          <t>Support</t>
        </is>
      </c>
      <c r="E4" s="13">
        <f>IF($B4="","",IF($B4="WIP","WIP",IFERROR(INDEX(Lists!$G$4:$G$10,MATCH($D4,Lists!$F$4:$F$10,0)),"Unmapped")))</f>
        <v/>
      </c>
      <c r="F4" s="16" t="n"/>
      <c r="G4" s="16" t="inlineStr">
        <is>
          <t>CBA</t>
        </is>
      </c>
      <c r="H4" s="14" t="inlineStr">
        <is>
          <t>587</t>
        </is>
      </c>
      <c r="I4" s="16" t="inlineStr">
        <is>
          <t>CBS July 2026</t>
        </is>
      </c>
      <c r="J4" s="14" t="inlineStr">
        <is>
          <t>INV-10527</t>
        </is>
      </c>
      <c r="K4" s="17" t="n">
        <v>10720</v>
      </c>
      <c r="L4" s="18">
        <f>IF($K4="","",IF($E4="Production",$K4-N($AD4),$K4))</f>
        <v/>
      </c>
      <c r="M4" s="18">
        <f>IF($E4="Production",IF($K4="","",$K4-(N($AF4)+N($AG4))),IF($E4="Consulting",IF($K4="","",$K4-(N($AL4)+N($AM4)+N($AN4))),""))</f>
        <v/>
      </c>
      <c r="N4" s="19">
        <f>IFERROR($M4/$K4,"")</f>
        <v/>
      </c>
      <c r="O4" s="13">
        <f>IF(COUNTA($B4:$K4)=0,"",IF($C4="","No date",IF(AND($C4&gt;=Lists!$B$3,$C4&lt;Lists!$B$4),"In FY27","Outside FY27")))</f>
        <v/>
      </c>
      <c r="P4" s="13">
        <f>IF($E4&lt;&gt;"WIP","",IF($H4="","",IF(COUNTIFS($E$2:$E$20000,"&lt;&gt;WIP",$H$2:$H$20000,$H4)&gt;0,"Job already invoiced","")))</f>
        <v/>
      </c>
      <c r="Q4" s="16" t="n"/>
      <c r="R4" s="16" t="n"/>
      <c r="S4" s="15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7" t="n"/>
      <c r="AD4" s="17" t="n"/>
      <c r="AE4" s="19">
        <f>IF($E4&lt;&gt;"Production","",IFERROR($AD4/$L4,""))</f>
        <v/>
      </c>
      <c r="AF4" s="17" t="n"/>
      <c r="AG4" s="17" t="n"/>
      <c r="AH4" s="16" t="n"/>
      <c r="AI4" s="17" t="n"/>
      <c r="AJ4" s="17" t="n"/>
      <c r="AK4" s="17" t="n"/>
      <c r="AL4" s="17" t="n"/>
      <c r="AM4" s="17" t="n"/>
      <c r="AN4" s="17" t="n"/>
    </row>
    <row r="5" ht="15" customHeight="1">
      <c r="A5" s="13">
        <f>IF(COUNTA($B5:$K5)=0,"",ROW()-1)</f>
        <v/>
      </c>
      <c r="B5" s="14" t="inlineStr">
        <is>
          <t>Invoice</t>
        </is>
      </c>
      <c r="C5" s="15" t="n">
        <v>46234</v>
      </c>
      <c r="D5" s="16" t="inlineStr">
        <is>
          <t>Support</t>
        </is>
      </c>
      <c r="E5" s="13">
        <f>IF($B5="","",IF($B5="WIP","WIP",IFERROR(INDEX(Lists!$G$4:$G$10,MATCH($D5,Lists!$F$4:$F$10,0)),"Unmapped")))</f>
        <v/>
      </c>
      <c r="F5" s="16" t="n"/>
      <c r="G5" s="16" t="inlineStr">
        <is>
          <t>DTTL</t>
        </is>
      </c>
      <c r="H5" s="14" t="inlineStr">
        <is>
          <t>2846/1401/725/1400/1530/1862/2402/2849/974</t>
        </is>
      </c>
      <c r="I5" s="16" t="inlineStr">
        <is>
          <t>DTTL Contract July 2026</t>
        </is>
      </c>
      <c r="J5" s="14" t="inlineStr">
        <is>
          <t>INV-10528</t>
        </is>
      </c>
      <c r="K5" s="17" t="n">
        <v>103625.44</v>
      </c>
      <c r="L5" s="18">
        <f>IF($K5="","",IF($E5="Production",$K5-N($AD5),$K5))</f>
        <v/>
      </c>
      <c r="M5" s="18">
        <f>IF($E5="Production",IF($K5="","",$K5-(N($AF5)+N($AG5))),IF($E5="Consulting",IF($K5="","",$K5-(N($AL5)+N($AM5)+N($AN5))),""))</f>
        <v/>
      </c>
      <c r="N5" s="19">
        <f>IFERROR($M5/$K5,"")</f>
        <v/>
      </c>
      <c r="O5" s="13">
        <f>IF(COUNTA($B5:$K5)=0,"",IF($C5="","No date",IF(AND($C5&gt;=Lists!$B$3,$C5&lt;Lists!$B$4),"In FY27","Outside FY27")))</f>
        <v/>
      </c>
      <c r="P5" s="13">
        <f>IF($E5&lt;&gt;"WIP","",IF($H5="","",IF(COUNTIFS($E$2:$E$20000,"&lt;&gt;WIP",$H$2:$H$20000,$H5)&gt;0,"Job already invoiced","")))</f>
        <v/>
      </c>
      <c r="Q5" s="16" t="n"/>
      <c r="R5" s="16" t="n"/>
      <c r="S5" s="15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7" t="n"/>
      <c r="AD5" s="17" t="n"/>
      <c r="AE5" s="19">
        <f>IF($E5&lt;&gt;"Production","",IFERROR($AD5/$L5,""))</f>
        <v/>
      </c>
      <c r="AF5" s="17" t="n"/>
      <c r="AG5" s="17" t="n"/>
      <c r="AH5" s="16" t="n"/>
      <c r="AI5" s="17" t="n"/>
      <c r="AJ5" s="17" t="n"/>
      <c r="AK5" s="17" t="n"/>
      <c r="AL5" s="17" t="n"/>
      <c r="AM5" s="17" t="n"/>
      <c r="AN5" s="17" t="n"/>
    </row>
    <row r="6" ht="15" customHeight="1">
      <c r="A6" s="13">
        <f>IF(COUNTA($B6:$K6)=0,"",ROW()-1)</f>
        <v/>
      </c>
      <c r="B6" s="14" t="inlineStr">
        <is>
          <t>Invoice</t>
        </is>
      </c>
      <c r="C6" s="15" t="n">
        <v>46234</v>
      </c>
      <c r="D6" s="16" t="inlineStr">
        <is>
          <t>Support</t>
        </is>
      </c>
      <c r="E6" s="13">
        <f>IF($B6="","",IF($B6="WIP","WIP",IFERROR(INDEX(Lists!$G$4:$G$10,MATCH($D6,Lists!$F$4:$F$10,0)),"Unmapped")))</f>
        <v/>
      </c>
      <c r="F6" s="16" t="n"/>
      <c r="G6" s="16" t="inlineStr">
        <is>
          <t>BW</t>
        </is>
      </c>
      <c r="H6" s="14" t="inlineStr">
        <is>
          <t>732/1144</t>
        </is>
      </c>
      <c r="I6" s="16" t="inlineStr">
        <is>
          <t>BW Contract July 2026</t>
        </is>
      </c>
      <c r="J6" s="14" t="inlineStr">
        <is>
          <t>INV-10529</t>
        </is>
      </c>
      <c r="K6" s="17" t="n">
        <v>19427.5</v>
      </c>
      <c r="L6" s="18">
        <f>IF($K6="","",IF($E6="Production",$K6-N($AD6),$K6))</f>
        <v/>
      </c>
      <c r="M6" s="18">
        <f>IF($E6="Production",IF($K6="","",$K6-(N($AF6)+N($AG6))),IF($E6="Consulting",IF($K6="","",$K6-(N($AL6)+N($AM6)+N($AN6))),""))</f>
        <v/>
      </c>
      <c r="N6" s="19">
        <f>IFERROR($M6/$K6,"")</f>
        <v/>
      </c>
      <c r="O6" s="13">
        <f>IF(COUNTA($B6:$K6)=0,"",IF($C6="","No date",IF(AND($C6&gt;=Lists!$B$3,$C6&lt;Lists!$B$4),"In FY27","Outside FY27")))</f>
        <v/>
      </c>
      <c r="P6" s="13">
        <f>IF($E6&lt;&gt;"WIP","",IF($H6="","",IF(COUNTIFS($E$2:$E$20000,"&lt;&gt;WIP",$H$2:$H$20000,$H6)&gt;0,"Job already invoiced","")))</f>
        <v/>
      </c>
      <c r="Q6" s="16" t="n"/>
      <c r="R6" s="16" t="n"/>
      <c r="S6" s="15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7" t="n"/>
      <c r="AD6" s="17" t="n"/>
      <c r="AE6" s="19">
        <f>IF($E6&lt;&gt;"Production","",IFERROR($AD6/$L6,""))</f>
        <v/>
      </c>
      <c r="AF6" s="17" t="n"/>
      <c r="AG6" s="17" t="n"/>
      <c r="AH6" s="16" t="n"/>
      <c r="AI6" s="17" t="n"/>
      <c r="AJ6" s="17" t="n"/>
      <c r="AK6" s="17" t="n"/>
      <c r="AL6" s="17" t="n"/>
      <c r="AM6" s="17" t="n"/>
      <c r="AN6" s="17" t="n"/>
    </row>
    <row r="7" ht="15" customHeight="1">
      <c r="A7" s="13">
        <f>IF(COUNTA($B7:$K7)=0,"",ROW()-1)</f>
        <v/>
      </c>
      <c r="B7" s="14" t="inlineStr">
        <is>
          <t>Invoice</t>
        </is>
      </c>
      <c r="C7" s="15" t="n">
        <v>46234</v>
      </c>
      <c r="D7" s="16" t="inlineStr">
        <is>
          <t>Support</t>
        </is>
      </c>
      <c r="E7" s="13">
        <f>IF($B7="","",IF($B7="WIP","WIP",IFERROR(INDEX(Lists!$G$4:$G$10,MATCH($D7,Lists!$F$4:$F$10,0)),"Unmapped")))</f>
        <v/>
      </c>
      <c r="F7" s="16" t="n"/>
      <c r="G7" s="16" t="inlineStr">
        <is>
          <t>BW</t>
        </is>
      </c>
      <c r="H7" s="14" t="n">
        <v>2192</v>
      </c>
      <c r="I7" s="16" t="inlineStr">
        <is>
          <t>BW Additionals July 2026</t>
        </is>
      </c>
      <c r="J7" s="14" t="inlineStr">
        <is>
          <t>INV-10530</t>
        </is>
      </c>
      <c r="K7" s="17" t="n">
        <v>1120</v>
      </c>
      <c r="L7" s="18">
        <f>IF($K7="","",IF($E7="Production",$K7-N($AD7),$K7))</f>
        <v/>
      </c>
      <c r="M7" s="18">
        <f>IF($E7="Production",IF($K7="","",$K7-(N($AF7)+N($AG7))),IF($E7="Consulting",IF($K7="","",$K7-(N($AL7)+N($AM7)+N($AN7))),""))</f>
        <v/>
      </c>
      <c r="N7" s="19">
        <f>IFERROR($M7/$K7,"")</f>
        <v/>
      </c>
      <c r="O7" s="13">
        <f>IF(COUNTA($B7:$K7)=0,"",IF($C7="","No date",IF(AND($C7&gt;=Lists!$B$3,$C7&lt;Lists!$B$4),"In FY27","Outside FY27")))</f>
        <v/>
      </c>
      <c r="P7" s="13">
        <f>IF($E7&lt;&gt;"WIP","",IF($H7="","",IF(COUNTIFS($E$2:$E$20000,"&lt;&gt;WIP",$H$2:$H$20000,$H7)&gt;0,"Job already invoiced","")))</f>
        <v/>
      </c>
      <c r="Q7" s="16" t="n"/>
      <c r="R7" s="16" t="n"/>
      <c r="S7" s="15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7" t="n"/>
      <c r="AD7" s="17" t="n"/>
      <c r="AE7" s="19">
        <f>IF($E7&lt;&gt;"Production","",IFERROR($AD7/$L7,""))</f>
        <v/>
      </c>
      <c r="AF7" s="17" t="n"/>
      <c r="AG7" s="17" t="n"/>
      <c r="AH7" s="16" t="n"/>
      <c r="AI7" s="17" t="n"/>
      <c r="AJ7" s="17" t="n"/>
      <c r="AK7" s="17" t="n"/>
      <c r="AL7" s="17" t="n"/>
      <c r="AM7" s="17" t="n"/>
      <c r="AN7" s="17" t="n"/>
    </row>
    <row r="8" ht="15" customHeight="1">
      <c r="A8" s="13">
        <f>IF(COUNTA($B8:$K8)=0,"",ROW()-1)</f>
        <v/>
      </c>
      <c r="B8" s="14" t="inlineStr">
        <is>
          <t>Invoice</t>
        </is>
      </c>
      <c r="C8" s="15" t="n">
        <v>46234</v>
      </c>
      <c r="D8" s="16" t="inlineStr">
        <is>
          <t>Support</t>
        </is>
      </c>
      <c r="E8" s="13">
        <f>IF($B8="","",IF($B8="WIP","WIP",IFERROR(INDEX(Lists!$G$4:$G$10,MATCH($D8,Lists!$F$4:$F$10,0)),"Unmapped")))</f>
        <v/>
      </c>
      <c r="F8" s="16" t="n"/>
      <c r="G8" s="16" t="inlineStr">
        <is>
          <t>PWC</t>
        </is>
      </c>
      <c r="H8" s="14" t="n">
        <v>2488</v>
      </c>
      <c r="I8" s="16" t="inlineStr">
        <is>
          <t>PWC Brisbane July 2026</t>
        </is>
      </c>
      <c r="J8" s="14" t="inlineStr">
        <is>
          <t>INV-10531</t>
        </is>
      </c>
      <c r="K8" s="17" t="n">
        <v>7150</v>
      </c>
      <c r="L8" s="18">
        <f>IF($K8="","",IF($E8="Production",$K8-N($AD8),$K8))</f>
        <v/>
      </c>
      <c r="M8" s="18">
        <f>IF($E8="Production",IF($K8="","",$K8-(N($AF8)+N($AG8))),IF($E8="Consulting",IF($K8="","",$K8-(N($AL8)+N($AM8)+N($AN8))),""))</f>
        <v/>
      </c>
      <c r="N8" s="19">
        <f>IFERROR($M8/$K8,"")</f>
        <v/>
      </c>
      <c r="O8" s="13">
        <f>IF(COUNTA($B8:$K8)=0,"",IF($C8="","No date",IF(AND($C8&gt;=Lists!$B$3,$C8&lt;Lists!$B$4),"In FY27","Outside FY27")))</f>
        <v/>
      </c>
      <c r="P8" s="13">
        <f>IF($E8&lt;&gt;"WIP","",IF($H8="","",IF(COUNTIFS($E$2:$E$20000,"&lt;&gt;WIP",$H$2:$H$20000,$H8)&gt;0,"Job already invoiced","")))</f>
        <v/>
      </c>
      <c r="Q8" s="16" t="n"/>
      <c r="R8" s="16" t="n"/>
      <c r="S8" s="15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7" t="n"/>
      <c r="AD8" s="17" t="n"/>
      <c r="AE8" s="19">
        <f>IF($E8&lt;&gt;"Production","",IFERROR($AD8/$L8,""))</f>
        <v/>
      </c>
      <c r="AF8" s="17" t="n"/>
      <c r="AG8" s="17" t="n"/>
      <c r="AH8" s="16" t="n"/>
      <c r="AI8" s="17" t="n"/>
      <c r="AJ8" s="17" t="n"/>
      <c r="AK8" s="17" t="n"/>
      <c r="AL8" s="17" t="n"/>
      <c r="AM8" s="17" t="n"/>
      <c r="AN8" s="17" t="n"/>
    </row>
    <row r="9" ht="15" customHeight="1">
      <c r="A9" s="13">
        <f>IF(COUNTA($B9:$K9)=0,"",ROW()-1)</f>
        <v/>
      </c>
      <c r="B9" s="14" t="inlineStr">
        <is>
          <t>Invoice</t>
        </is>
      </c>
      <c r="C9" s="15" t="n">
        <v>46234</v>
      </c>
      <c r="D9" s="16" t="inlineStr">
        <is>
          <t>Support</t>
        </is>
      </c>
      <c r="E9" s="13">
        <f>IF($B9="","",IF($B9="WIP","WIP",IFERROR(INDEX(Lists!$G$4:$G$10,MATCH($D9,Lists!$F$4:$F$10,0)),"Unmapped")))</f>
        <v/>
      </c>
      <c r="F9" s="16" t="n"/>
      <c r="G9" s="16" t="inlineStr">
        <is>
          <t>Gen-E</t>
        </is>
      </c>
      <c r="H9" s="14" t="n">
        <v>26021602</v>
      </c>
      <c r="I9" s="16" t="inlineStr">
        <is>
          <t>Gen-E ABS July 2026</t>
        </is>
      </c>
      <c r="J9" s="14" t="inlineStr">
        <is>
          <t>INV-10532</t>
        </is>
      </c>
      <c r="K9" s="17" t="n">
        <v>12388.8</v>
      </c>
      <c r="L9" s="18">
        <f>IF($K9="","",IF($E9="Production",$K9-N($AD9),$K9))</f>
        <v/>
      </c>
      <c r="M9" s="18">
        <f>IF($E9="Production",IF($K9="","",$K9-(N($AF9)+N($AG9))),IF($E9="Consulting",IF($K9="","",$K9-(N($AL9)+N($AM9)+N($AN9))),""))</f>
        <v/>
      </c>
      <c r="N9" s="19">
        <f>IFERROR($M9/$K9,"")</f>
        <v/>
      </c>
      <c r="O9" s="13">
        <f>IF(COUNTA($B9:$K9)=0,"",IF($C9="","No date",IF(AND($C9&gt;=Lists!$B$3,$C9&lt;Lists!$B$4),"In FY27","Outside FY27")))</f>
        <v/>
      </c>
      <c r="P9" s="13">
        <f>IF($E9&lt;&gt;"WIP","",IF($H9="","",IF(COUNTIFS($E$2:$E$20000,"&lt;&gt;WIP",$H$2:$H$20000,$H9)&gt;0,"Job already invoiced","")))</f>
        <v/>
      </c>
      <c r="Q9" s="16" t="n"/>
      <c r="R9" s="16" t="n"/>
      <c r="S9" s="15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7" t="n"/>
      <c r="AD9" s="17" t="n"/>
      <c r="AE9" s="19">
        <f>IF($E9&lt;&gt;"Production","",IFERROR($AD9/$L9,""))</f>
        <v/>
      </c>
      <c r="AF9" s="17" t="n"/>
      <c r="AG9" s="17" t="n"/>
      <c r="AH9" s="16" t="n"/>
      <c r="AI9" s="17" t="n"/>
      <c r="AJ9" s="17" t="n"/>
      <c r="AK9" s="17" t="n"/>
      <c r="AL9" s="17" t="n"/>
      <c r="AM9" s="17" t="n"/>
      <c r="AN9" s="17" t="n"/>
    </row>
    <row r="10" ht="15" customHeight="1">
      <c r="A10" s="13">
        <f>IF(COUNTA($B10:$K10)=0,"",ROW()-1)</f>
        <v/>
      </c>
      <c r="B10" s="14" t="inlineStr">
        <is>
          <t>Invoice</t>
        </is>
      </c>
      <c r="C10" s="15" t="n">
        <v>46234</v>
      </c>
      <c r="D10" s="16" t="inlineStr">
        <is>
          <t>Support</t>
        </is>
      </c>
      <c r="E10" s="13">
        <f>IF($B10="","",IF($B10="WIP","WIP",IFERROR(INDEX(Lists!$G$4:$G$10,MATCH($D10,Lists!$F$4:$F$10,0)),"Unmapped")))</f>
        <v/>
      </c>
      <c r="F10" s="16" t="n"/>
      <c r="G10" s="16" t="inlineStr">
        <is>
          <t>CBA</t>
        </is>
      </c>
      <c r="H10" s="14" t="n">
        <v>26043001</v>
      </c>
      <c r="I10" s="16" t="inlineStr">
        <is>
          <t>CBA Mel July 2026</t>
        </is>
      </c>
      <c r="J10" s="14" t="inlineStr">
        <is>
          <t>INV-10534</t>
        </is>
      </c>
      <c r="K10" s="17" t="n">
        <v>11377.12</v>
      </c>
      <c r="L10" s="18">
        <f>IF($K10="","",IF($E10="Production",$K10-N($AD10),$K10))</f>
        <v/>
      </c>
      <c r="M10" s="18">
        <f>IF($E10="Production",IF($K10="","",$K10-(N($AF10)+N($AG10))),IF($E10="Consulting",IF($K10="","",$K10-(N($AL10)+N($AM10)+N($AN10))),""))</f>
        <v/>
      </c>
      <c r="N10" s="19">
        <f>IFERROR($M10/$K10,"")</f>
        <v/>
      </c>
      <c r="O10" s="13">
        <f>IF(COUNTA($B10:$K10)=0,"",IF($C10="","No date",IF(AND($C10&gt;=Lists!$B$3,$C10&lt;Lists!$B$4),"In FY27","Outside FY27")))</f>
        <v/>
      </c>
      <c r="P10" s="13">
        <f>IF($E10&lt;&gt;"WIP","",IF($H10="","",IF(COUNTIFS($E$2:$E$20000,"&lt;&gt;WIP",$H$2:$H$20000,$H10)&gt;0,"Job already invoiced","")))</f>
        <v/>
      </c>
      <c r="Q10" s="16" t="inlineStr">
        <is>
          <t>Deduct 8hrs CN for 03/07</t>
        </is>
      </c>
      <c r="R10" s="16" t="n"/>
      <c r="S10" s="15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7" t="n"/>
      <c r="AD10" s="17" t="n"/>
      <c r="AE10" s="19">
        <f>IF($E10&lt;&gt;"Production","",IFERROR($AD10/$L10,""))</f>
        <v/>
      </c>
      <c r="AF10" s="17" t="n"/>
      <c r="AG10" s="17" t="n"/>
      <c r="AH10" s="16" t="n"/>
      <c r="AI10" s="17" t="n"/>
      <c r="AJ10" s="17" t="n"/>
      <c r="AK10" s="17" t="n"/>
      <c r="AL10" s="17" t="n"/>
      <c r="AM10" s="17" t="n"/>
      <c r="AN10" s="17" t="n"/>
    </row>
    <row r="11" ht="15" customHeight="1">
      <c r="A11" s="13">
        <f>IF(COUNTA($B11:$K11)=0,"",ROW()-1)</f>
        <v/>
      </c>
      <c r="B11" s="14" t="inlineStr">
        <is>
          <t>Invoice</t>
        </is>
      </c>
      <c r="C11" s="15" t="n">
        <v>46234</v>
      </c>
      <c r="D11" s="16" t="inlineStr">
        <is>
          <t>Support</t>
        </is>
      </c>
      <c r="E11" s="13">
        <f>IF($B11="","",IF($B11="WIP","WIP",IFERROR(INDEX(Lists!$G$4:$G$10,MATCH($D11,Lists!$F$4:$F$10,0)),"Unmapped")))</f>
        <v/>
      </c>
      <c r="F11" s="16" t="n"/>
      <c r="G11" s="16" t="inlineStr">
        <is>
          <t>PWC</t>
        </is>
      </c>
      <c r="H11" s="14" t="inlineStr">
        <is>
          <t>25101301B</t>
        </is>
      </c>
      <c r="I11" s="16" t="inlineStr">
        <is>
          <t>PWC Sydney IT July 2026</t>
        </is>
      </c>
      <c r="J11" s="14" t="inlineStr">
        <is>
          <t>INV-10535</t>
        </is>
      </c>
      <c r="K11" s="17" t="n">
        <v>11907</v>
      </c>
      <c r="L11" s="18">
        <f>IF($K11="","",IF($E11="Production",$K11-N($AD11),$K11))</f>
        <v/>
      </c>
      <c r="M11" s="18">
        <f>IF($E11="Production",IF($K11="","",$K11-(N($AF11)+N($AG11))),IF($E11="Consulting",IF($K11="","",$K11-(N($AL11)+N($AM11)+N($AN11))),""))</f>
        <v/>
      </c>
      <c r="N11" s="19">
        <f>IFERROR($M11/$K11,"")</f>
        <v/>
      </c>
      <c r="O11" s="13">
        <f>IF(COUNTA($B11:$K11)=0,"",IF($C11="","No date",IF(AND($C11&gt;=Lists!$B$3,$C11&lt;Lists!$B$4),"In FY27","Outside FY27")))</f>
        <v/>
      </c>
      <c r="P11" s="13">
        <f>IF($E11&lt;&gt;"WIP","",IF($H11="","",IF(COUNTIFS($E$2:$E$20000,"&lt;&gt;WIP",$H$2:$H$20000,$H11)&gt;0,"Job already invoiced","")))</f>
        <v/>
      </c>
      <c r="Q11" s="16" t="n"/>
      <c r="R11" s="16" t="n"/>
      <c r="S11" s="15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7" t="n"/>
      <c r="AD11" s="17" t="n"/>
      <c r="AE11" s="19">
        <f>IF($E11&lt;&gt;"Production","",IFERROR($AD11/$L11,""))</f>
        <v/>
      </c>
      <c r="AF11" s="17" t="n"/>
      <c r="AG11" s="17" t="n"/>
      <c r="AH11" s="16" t="n"/>
      <c r="AI11" s="17" t="n"/>
      <c r="AJ11" s="17" t="n"/>
      <c r="AK11" s="17" t="n"/>
      <c r="AL11" s="17" t="n"/>
      <c r="AM11" s="17" t="n"/>
      <c r="AN11" s="17" t="n"/>
    </row>
    <row r="12" ht="15" customHeight="1">
      <c r="A12" s="13">
        <f>IF(COUNTA($B12:$K12)=0,"",ROW()-1)</f>
        <v/>
      </c>
      <c r="B12" s="14" t="inlineStr">
        <is>
          <t>Invoice</t>
        </is>
      </c>
      <c r="C12" s="15" t="n">
        <v>46234</v>
      </c>
      <c r="D12" s="16" t="inlineStr">
        <is>
          <t>Support</t>
        </is>
      </c>
      <c r="E12" s="13">
        <f>IF($B12="","",IF($B12="WIP","WIP",IFERROR(INDEX(Lists!$G$4:$G$10,MATCH($D12,Lists!$F$4:$F$10,0)),"Unmapped")))</f>
        <v/>
      </c>
      <c r="F12" s="16" t="n"/>
      <c r="G12" s="16" t="inlineStr">
        <is>
          <t>RICOH</t>
        </is>
      </c>
      <c r="H12" s="14" t="n">
        <v>2880</v>
      </c>
      <c r="I12" s="16" t="inlineStr">
        <is>
          <t>Ricoh Contract July 2026</t>
        </is>
      </c>
      <c r="J12" s="14" t="inlineStr">
        <is>
          <t>INV-10536</t>
        </is>
      </c>
      <c r="K12" s="17" t="n">
        <v>11860.5</v>
      </c>
      <c r="L12" s="18">
        <f>IF($K12="","",IF($E12="Production",$K12-N($AD12),$K12))</f>
        <v/>
      </c>
      <c r="M12" s="18">
        <f>IF($E12="Production",IF($K12="","",$K12-(N($AF12)+N($AG12))),IF($E12="Consulting",IF($K12="","",$K12-(N($AL12)+N($AM12)+N($AN12))),""))</f>
        <v/>
      </c>
      <c r="N12" s="19">
        <f>IFERROR($M12/$K12,"")</f>
        <v/>
      </c>
      <c r="O12" s="13">
        <f>IF(COUNTA($B12:$K12)=0,"",IF($C12="","No date",IF(AND($C12&gt;=Lists!$B$3,$C12&lt;Lists!$B$4),"In FY27","Outside FY27")))</f>
        <v/>
      </c>
      <c r="P12" s="13">
        <f>IF($E12&lt;&gt;"WIP","",IF($H12="","",IF(COUNTIFS($E$2:$E$20000,"&lt;&gt;WIP",$H$2:$H$20000,$H12)&gt;0,"Job already invoiced","")))</f>
        <v/>
      </c>
      <c r="Q12" s="16" t="inlineStr">
        <is>
          <t>2 months extension</t>
        </is>
      </c>
      <c r="R12" s="16" t="n"/>
      <c r="S12" s="15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7" t="n"/>
      <c r="AD12" s="17" t="n"/>
      <c r="AE12" s="19">
        <f>IF($E12&lt;&gt;"Production","",IFERROR($AD12/$L12,""))</f>
        <v/>
      </c>
      <c r="AF12" s="17" t="n"/>
      <c r="AG12" s="17" t="n"/>
      <c r="AH12" s="16" t="n"/>
      <c r="AI12" s="17" t="n"/>
      <c r="AJ12" s="17" t="n"/>
      <c r="AK12" s="17" t="n"/>
      <c r="AL12" s="17" t="n"/>
      <c r="AM12" s="17" t="n"/>
      <c r="AN12" s="17" t="n"/>
    </row>
    <row r="13" ht="15" customHeight="1">
      <c r="A13" s="13">
        <f>IF(COUNTA($B13:$K13)=0,"",ROW()-1)</f>
        <v/>
      </c>
      <c r="B13" s="14" t="inlineStr">
        <is>
          <t>Invoice</t>
        </is>
      </c>
      <c r="C13" s="15" t="n">
        <v>46234</v>
      </c>
      <c r="D13" s="16" t="inlineStr">
        <is>
          <t>Support</t>
        </is>
      </c>
      <c r="E13" s="13">
        <f>IF($B13="","",IF($B13="WIP","WIP",IFERROR(INDEX(Lists!$G$4:$G$10,MATCH($D13,Lists!$F$4:$F$10,0)),"Unmapped")))</f>
        <v/>
      </c>
      <c r="F13" s="16" t="n"/>
      <c r="G13" s="16" t="inlineStr">
        <is>
          <t>PWC</t>
        </is>
      </c>
      <c r="H13" s="14" t="n"/>
      <c r="I13" s="16" t="inlineStr">
        <is>
          <t>PWC Dedicated Tech 29/07/2026</t>
        </is>
      </c>
      <c r="J13" s="14" t="inlineStr">
        <is>
          <t>INV-10537</t>
        </is>
      </c>
      <c r="K13" s="17" t="n">
        <v>340</v>
      </c>
      <c r="L13" s="18">
        <f>IF($K13="","",IF($E13="Production",$K13-N($AD13),$K13))</f>
        <v/>
      </c>
      <c r="M13" s="18">
        <f>IF($E13="Production",IF($K13="","",$K13-(N($AF13)+N($AG13))),IF($E13="Consulting",IF($K13="","",$K13-(N($AL13)+N($AM13)+N($AN13))),""))</f>
        <v/>
      </c>
      <c r="N13" s="19">
        <f>IFERROR($M13/$K13,"")</f>
        <v/>
      </c>
      <c r="O13" s="13">
        <f>IF(COUNTA($B13:$K13)=0,"",IF($C13="","No date",IF(AND($C13&gt;=Lists!$B$3,$C13&lt;Lists!$B$4),"In FY27","Outside FY27")))</f>
        <v/>
      </c>
      <c r="P13" s="13">
        <f>IF($E13&lt;&gt;"WIP","",IF($H13="","",IF(COUNTIFS($E$2:$E$20000,"&lt;&gt;WIP",$H$2:$H$20000,$H13)&gt;0,"Job already invoiced","")))</f>
        <v/>
      </c>
      <c r="Q13" s="16" t="inlineStr">
        <is>
          <t>29/07/2026 4hours</t>
        </is>
      </c>
      <c r="R13" s="16" t="n"/>
      <c r="S13" s="15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7" t="n"/>
      <c r="AD13" s="17" t="n"/>
      <c r="AE13" s="19">
        <f>IF($E13&lt;&gt;"Production","",IFERROR($AD13/$L13,""))</f>
        <v/>
      </c>
      <c r="AF13" s="17" t="n"/>
      <c r="AG13" s="17" t="n"/>
      <c r="AH13" s="16" t="n"/>
      <c r="AI13" s="17" t="n"/>
      <c r="AJ13" s="17" t="n"/>
      <c r="AK13" s="17" t="n"/>
      <c r="AL13" s="17" t="n"/>
      <c r="AM13" s="17" t="n"/>
      <c r="AN13" s="17" t="n"/>
    </row>
    <row r="14" ht="15" customHeight="1">
      <c r="A14" s="13">
        <f>IF(COUNTA($B14:$K14)=0,"",ROW()-1)</f>
        <v/>
      </c>
      <c r="B14" s="14" t="inlineStr">
        <is>
          <t>Invoice</t>
        </is>
      </c>
      <c r="C14" s="15" t="n">
        <v>46234</v>
      </c>
      <c r="D14" s="16" t="inlineStr">
        <is>
          <t>Support</t>
        </is>
      </c>
      <c r="E14" s="13">
        <f>IF($B14="","",IF($B14="WIP","WIP",IFERROR(INDEX(Lists!$G$4:$G$10,MATCH($D14,Lists!$F$4:$F$10,0)),"Unmapped")))</f>
        <v/>
      </c>
      <c r="F14" s="16" t="n"/>
      <c r="G14" s="16" t="inlineStr">
        <is>
          <t>APN</t>
        </is>
      </c>
      <c r="H14" s="14" t="n">
        <v>3056</v>
      </c>
      <c r="I14" s="16" t="inlineStr">
        <is>
          <t>APN Tech Support July 22 &amp; 24</t>
        </is>
      </c>
      <c r="J14" s="14" t="inlineStr">
        <is>
          <t>INV-10541</t>
        </is>
      </c>
      <c r="K14" s="17" t="n">
        <v>680</v>
      </c>
      <c r="L14" s="18">
        <f>IF($K14="","",IF($E14="Production",$K14-N($AD14),$K14))</f>
        <v/>
      </c>
      <c r="M14" s="18">
        <f>IF($E14="Production",IF($K14="","",$K14-(N($AF14)+N($AG14))),IF($E14="Consulting",IF($K14="","",$K14-(N($AL14)+N($AM14)+N($AN14))),""))</f>
        <v/>
      </c>
      <c r="N14" s="19">
        <f>IFERROR($M14/$K14,"")</f>
        <v/>
      </c>
      <c r="O14" s="13">
        <f>IF(COUNTA($B14:$K14)=0,"",IF($C14="","No date",IF(AND($C14&gt;=Lists!$B$3,$C14&lt;Lists!$B$4),"In FY27","Outside FY27")))</f>
        <v/>
      </c>
      <c r="P14" s="13">
        <f>IF($E14&lt;&gt;"WIP","",IF($H14="","",IF(COUNTIFS($E$2:$E$20000,"&lt;&gt;WIP",$H$2:$H$20000,$H14)&gt;0,"Job already invoiced","")))</f>
        <v/>
      </c>
      <c r="Q14" s="16" t="n"/>
      <c r="R14" s="16" t="n"/>
      <c r="S14" s="15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7" t="n"/>
      <c r="AD14" s="17" t="n"/>
      <c r="AE14" s="19">
        <f>IF($E14&lt;&gt;"Production","",IFERROR($AD14/$L14,""))</f>
        <v/>
      </c>
      <c r="AF14" s="17" t="n"/>
      <c r="AG14" s="17" t="n"/>
      <c r="AH14" s="16" t="n"/>
      <c r="AI14" s="17" t="n"/>
      <c r="AJ14" s="17" t="n"/>
      <c r="AK14" s="17" t="n"/>
      <c r="AL14" s="17" t="n"/>
      <c r="AM14" s="17" t="n"/>
      <c r="AN14" s="17" t="n"/>
    </row>
    <row r="15" ht="15" customHeight="1">
      <c r="A15" s="13">
        <f>IF(COUNTA($B15:$K15)=0,"",ROW()-1)</f>
        <v/>
      </c>
      <c r="B15" s="14" t="inlineStr">
        <is>
          <t>Invoice</t>
        </is>
      </c>
      <c r="C15" s="15" t="n">
        <v>46234</v>
      </c>
      <c r="D15" s="16" t="inlineStr">
        <is>
          <t>Support</t>
        </is>
      </c>
      <c r="E15" s="13">
        <f>IF($B15="","",IF($B15="WIP","WIP",IFERROR(INDEX(Lists!$G$4:$G$10,MATCH($D15,Lists!$F$4:$F$10,0)),"Unmapped")))</f>
        <v/>
      </c>
      <c r="F15" s="16" t="n"/>
      <c r="G15" s="16" t="inlineStr">
        <is>
          <t>PWC</t>
        </is>
      </c>
      <c r="H15" s="14" t="n">
        <v>20250731</v>
      </c>
      <c r="I15" s="16" t="inlineStr">
        <is>
          <t>PWC Pool of Hours (50 hours)</t>
        </is>
      </c>
      <c r="J15" s="14" t="inlineStr">
        <is>
          <t>INV-10539</t>
        </is>
      </c>
      <c r="K15" s="17" t="n">
        <v>4250</v>
      </c>
      <c r="L15" s="18">
        <f>IF($K15="","",IF($E15="Production",$K15-N($AD15),$K15))</f>
        <v/>
      </c>
      <c r="M15" s="18">
        <f>IF($E15="Production",IF($K15="","",$K15-(N($AF15)+N($AG15))),IF($E15="Consulting",IF($K15="","",$K15-(N($AL15)+N($AM15)+N($AN15))),""))</f>
        <v/>
      </c>
      <c r="N15" s="19">
        <f>IFERROR($M15/$K15,"")</f>
        <v/>
      </c>
      <c r="O15" s="13">
        <f>IF(COUNTA($B15:$K15)=0,"",IF($C15="","No date",IF(AND($C15&gt;=Lists!$B$3,$C15&lt;Lists!$B$4),"In FY27","Outside FY27")))</f>
        <v/>
      </c>
      <c r="P15" s="13">
        <f>IF($E15&lt;&gt;"WIP","",IF($H15="","",IF(COUNTIFS($E$2:$E$20000,"&lt;&gt;WIP",$H$2:$H$20000,$H15)&gt;0,"Job already invoiced","")))</f>
        <v/>
      </c>
      <c r="Q15" s="16" t="inlineStr">
        <is>
          <t>PO2601703215</t>
        </is>
      </c>
      <c r="R15" s="16" t="n"/>
      <c r="S15" s="15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7" t="n"/>
      <c r="AD15" s="17" t="n"/>
      <c r="AE15" s="19">
        <f>IF($E15&lt;&gt;"Production","",IFERROR($AD15/$L15,""))</f>
        <v/>
      </c>
      <c r="AF15" s="17" t="n"/>
      <c r="AG15" s="17" t="n"/>
      <c r="AH15" s="16" t="n"/>
      <c r="AI15" s="17" t="n"/>
      <c r="AJ15" s="17" t="n"/>
      <c r="AK15" s="17" t="n"/>
      <c r="AL15" s="17" t="n"/>
      <c r="AM15" s="17" t="n"/>
      <c r="AN15" s="17" t="n"/>
    </row>
    <row r="16" ht="15" customHeight="1">
      <c r="A16" s="13">
        <f>IF(COUNTA($B16:$K16)=0,"",ROW()-1)</f>
        <v/>
      </c>
      <c r="B16" s="14" t="inlineStr">
        <is>
          <t>Invoice</t>
        </is>
      </c>
      <c r="C16" s="15" t="n">
        <v>46234</v>
      </c>
      <c r="D16" s="16" t="inlineStr">
        <is>
          <t>Support</t>
        </is>
      </c>
      <c r="E16" s="13">
        <f>IF($B16="","",IF($B16="WIP","WIP",IFERROR(INDEX(Lists!$G$4:$G$10,MATCH($D16,Lists!$F$4:$F$10,0)),"Unmapped")))</f>
        <v/>
      </c>
      <c r="F16" s="16" t="n"/>
      <c r="G16" s="16" t="inlineStr">
        <is>
          <t>CBA</t>
        </is>
      </c>
      <c r="H16" s="14" t="n">
        <v>1668</v>
      </c>
      <c r="I16" s="16" t="inlineStr">
        <is>
          <t>AH Support 02/07/2026</t>
        </is>
      </c>
      <c r="J16" s="14" t="inlineStr">
        <is>
          <t>INV-10542</t>
        </is>
      </c>
      <c r="K16" s="17" t="n">
        <v>180</v>
      </c>
      <c r="L16" s="18">
        <f>IF($K16="","",IF($E16="Production",$K16-N($AD16),$K16))</f>
        <v/>
      </c>
      <c r="M16" s="18">
        <f>IF($E16="Production",IF($K16="","",$K16-(N($AF16)+N($AG16))),IF($E16="Consulting",IF($K16="","",$K16-(N($AL16)+N($AM16)+N($AN16))),""))</f>
        <v/>
      </c>
      <c r="N16" s="19">
        <f>IFERROR($M16/$K16,"")</f>
        <v/>
      </c>
      <c r="O16" s="13">
        <f>IF(COUNTA($B16:$K16)=0,"",IF($C16="","No date",IF(AND($C16&gt;=Lists!$B$3,$C16&lt;Lists!$B$4),"In FY27","Outside FY27")))</f>
        <v/>
      </c>
      <c r="P16" s="13">
        <f>IF($E16&lt;&gt;"WIP","",IF($H16="","",IF(COUNTIFS($E$2:$E$20000,"&lt;&gt;WIP",$H$2:$H$20000,$H16)&gt;0,"Job already invoiced","")))</f>
        <v/>
      </c>
      <c r="Q16" s="16" t="n"/>
      <c r="R16" s="16" t="n"/>
      <c r="S16" s="15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7" t="n"/>
      <c r="AD16" s="17" t="n"/>
      <c r="AE16" s="19">
        <f>IF($E16&lt;&gt;"Production","",IFERROR($AD16/$L16,""))</f>
        <v/>
      </c>
      <c r="AF16" s="17" t="n"/>
      <c r="AG16" s="17" t="n"/>
      <c r="AH16" s="16" t="n"/>
      <c r="AI16" s="17" t="n"/>
      <c r="AJ16" s="17" t="n"/>
      <c r="AK16" s="17" t="n"/>
      <c r="AL16" s="17" t="n"/>
      <c r="AM16" s="17" t="n"/>
      <c r="AN16" s="17" t="n"/>
    </row>
    <row r="17" ht="15" customHeight="1">
      <c r="A17" s="13">
        <f>IF(COUNTA($B17:$K17)=0,"",ROW()-1)</f>
        <v/>
      </c>
      <c r="B17" s="14" t="inlineStr">
        <is>
          <t>Invoice</t>
        </is>
      </c>
      <c r="C17" s="15" t="n">
        <v>46234</v>
      </c>
      <c r="D17" s="16" t="inlineStr">
        <is>
          <t>Support</t>
        </is>
      </c>
      <c r="E17" s="13">
        <f>IF($B17="","",IF($B17="WIP","WIP",IFERROR(INDEX(Lists!$G$4:$G$10,MATCH($D17,Lists!$F$4:$F$10,0)),"Unmapped")))</f>
        <v/>
      </c>
      <c r="F17" s="16" t="n"/>
      <c r="G17" s="16" t="inlineStr">
        <is>
          <t>CBA</t>
        </is>
      </c>
      <c r="H17" s="14" t="n">
        <v>1668</v>
      </c>
      <c r="I17" s="16" t="inlineStr">
        <is>
          <t>DT Support 02/07/2026</t>
        </is>
      </c>
      <c r="J17" s="14" t="inlineStr">
        <is>
          <t>INV-10543</t>
        </is>
      </c>
      <c r="K17" s="17" t="n">
        <v>425</v>
      </c>
      <c r="L17" s="18">
        <f>IF($K17="","",IF($E17="Production",$K17-N($AD17),$K17))</f>
        <v/>
      </c>
      <c r="M17" s="18">
        <f>IF($E17="Production",IF($K17="","",$K17-(N($AF17)+N($AG17))),IF($E17="Consulting",IF($K17="","",$K17-(N($AL17)+N($AM17)+N($AN17))),""))</f>
        <v/>
      </c>
      <c r="N17" s="19">
        <f>IFERROR($M17/$K17,"")</f>
        <v/>
      </c>
      <c r="O17" s="13">
        <f>IF(COUNTA($B17:$K17)=0,"",IF($C17="","No date",IF(AND($C17&gt;=Lists!$B$3,$C17&lt;Lists!$B$4),"In FY27","Outside FY27")))</f>
        <v/>
      </c>
      <c r="P17" s="13">
        <f>IF($E17&lt;&gt;"WIP","",IF($H17="","",IF(COUNTIFS($E$2:$E$20000,"&lt;&gt;WIP",$H$2:$H$20000,$H17)&gt;0,"Job already invoiced","")))</f>
        <v/>
      </c>
      <c r="Q17" s="16" t="n"/>
      <c r="R17" s="16" t="n"/>
      <c r="S17" s="15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7" t="n"/>
      <c r="AD17" s="17" t="n"/>
      <c r="AE17" s="19">
        <f>IF($E17&lt;&gt;"Production","",IFERROR($AD17/$L17,""))</f>
        <v/>
      </c>
      <c r="AF17" s="17" t="n"/>
      <c r="AG17" s="17" t="n"/>
      <c r="AH17" s="16" t="n"/>
      <c r="AI17" s="17" t="n"/>
      <c r="AJ17" s="17" t="n"/>
      <c r="AK17" s="17" t="n"/>
      <c r="AL17" s="17" t="n"/>
      <c r="AM17" s="17" t="n"/>
      <c r="AN17" s="17" t="n"/>
    </row>
    <row r="18" ht="15" customHeight="1">
      <c r="A18" s="13">
        <f>IF(COUNTA($B18:$K18)=0,"",ROW()-1)</f>
        <v/>
      </c>
      <c r="B18" s="14" t="inlineStr">
        <is>
          <t>Invoice</t>
        </is>
      </c>
      <c r="C18" s="15" t="n">
        <v>46234</v>
      </c>
      <c r="D18" s="16" t="inlineStr">
        <is>
          <t>Support</t>
        </is>
      </c>
      <c r="E18" s="13">
        <f>IF($B18="","",IF($B18="WIP","WIP",IFERROR(INDEX(Lists!$G$4:$G$10,MATCH($D18,Lists!$F$4:$F$10,0)),"Unmapped")))</f>
        <v/>
      </c>
      <c r="F18" s="16" t="n"/>
      <c r="G18" s="16" t="inlineStr">
        <is>
          <t>CBA</t>
        </is>
      </c>
      <c r="H18" s="14" t="n">
        <v>1668</v>
      </c>
      <c r="I18" s="16" t="inlineStr">
        <is>
          <t>DT Support 23/07/2026</t>
        </is>
      </c>
      <c r="J18" s="14" t="inlineStr">
        <is>
          <t>INV-10544</t>
        </is>
      </c>
      <c r="K18" s="17" t="n">
        <v>510</v>
      </c>
      <c r="L18" s="18">
        <f>IF($K18="","",IF($E18="Production",$K18-N($AD18),$K18))</f>
        <v/>
      </c>
      <c r="M18" s="18">
        <f>IF($E18="Production",IF($K18="","",$K18-(N($AF18)+N($AG18))),IF($E18="Consulting",IF($K18="","",$K18-(N($AL18)+N($AM18)+N($AN18))),""))</f>
        <v/>
      </c>
      <c r="N18" s="19">
        <f>IFERROR($M18/$K18,"")</f>
        <v/>
      </c>
      <c r="O18" s="13">
        <f>IF(COUNTA($B18:$K18)=0,"",IF($C18="","No date",IF(AND($C18&gt;=Lists!$B$3,$C18&lt;Lists!$B$4),"In FY27","Outside FY27")))</f>
        <v/>
      </c>
      <c r="P18" s="13">
        <f>IF($E18&lt;&gt;"WIP","",IF($H18="","",IF(COUNTIFS($E$2:$E$20000,"&lt;&gt;WIP",$H$2:$H$20000,$H18)&gt;0,"Job already invoiced","")))</f>
        <v/>
      </c>
      <c r="Q18" s="16" t="n"/>
      <c r="R18" s="16" t="n"/>
      <c r="S18" s="15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7" t="n"/>
      <c r="AD18" s="17" t="n"/>
      <c r="AE18" s="19">
        <f>IF($E18&lt;&gt;"Production","",IFERROR($AD18/$L18,""))</f>
        <v/>
      </c>
      <c r="AF18" s="17" t="n"/>
      <c r="AG18" s="17" t="n"/>
      <c r="AH18" s="16" t="n"/>
      <c r="AI18" s="17" t="n"/>
      <c r="AJ18" s="17" t="n"/>
      <c r="AK18" s="17" t="n"/>
      <c r="AL18" s="17" t="n"/>
      <c r="AM18" s="17" t="n"/>
      <c r="AN18" s="17" t="n"/>
    </row>
    <row r="19" ht="15" customHeight="1">
      <c r="A19" s="13">
        <f>IF(COUNTA($B19:$K19)=0,"",ROW()-1)</f>
        <v/>
      </c>
      <c r="B19" s="14" t="inlineStr">
        <is>
          <t>Invoice</t>
        </is>
      </c>
      <c r="C19" s="15" t="n">
        <v>46233</v>
      </c>
      <c r="D19" s="16" t="inlineStr">
        <is>
          <t>Support</t>
        </is>
      </c>
      <c r="E19" s="13">
        <f>IF($B19="","",IF($B19="WIP","WIP",IFERROR(INDEX(Lists!$G$4:$G$10,MATCH($D19,Lists!$F$4:$F$10,0)),"Unmapped")))</f>
        <v/>
      </c>
      <c r="F19" s="16" t="n"/>
      <c r="G19" s="16" t="inlineStr">
        <is>
          <t>PWC</t>
        </is>
      </c>
      <c r="H19" s="14" t="n">
        <v>2540</v>
      </c>
      <c r="I19" s="16" t="inlineStr">
        <is>
          <t>PWC Dedicated Tech 30/07/2026</t>
        </is>
      </c>
      <c r="J19" s="14" t="inlineStr">
        <is>
          <t>INV-10545</t>
        </is>
      </c>
      <c r="K19" s="17" t="n">
        <v>340</v>
      </c>
      <c r="L19" s="18">
        <f>IF($K19="","",IF($E19="Production",$K19-N($AD19),$K19))</f>
        <v/>
      </c>
      <c r="M19" s="18">
        <f>IF($E19="Production",IF($K19="","",$K19-(N($AF19)+N($AG19))),IF($E19="Consulting",IF($K19="","",$K19-(N($AL19)+N($AM19)+N($AN19))),""))</f>
        <v/>
      </c>
      <c r="N19" s="19">
        <f>IFERROR($M19/$K19,"")</f>
        <v/>
      </c>
      <c r="O19" s="13">
        <f>IF(COUNTA($B19:$K19)=0,"",IF($C19="","No date",IF(AND($C19&gt;=Lists!$B$3,$C19&lt;Lists!$B$4),"In FY27","Outside FY27")))</f>
        <v/>
      </c>
      <c r="P19" s="13">
        <f>IF($E19&lt;&gt;"WIP","",IF($H19="","",IF(COUNTIFS($E$2:$E$20000,"&lt;&gt;WIP",$H$2:$H$20000,$H19)&gt;0,"Job already invoiced","")))</f>
        <v/>
      </c>
      <c r="Q19" s="16" t="inlineStr">
        <is>
          <t>PO2601703274</t>
        </is>
      </c>
      <c r="R19" s="16" t="n"/>
      <c r="S19" s="15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7" t="n"/>
      <c r="AD19" s="17" t="n"/>
      <c r="AE19" s="19">
        <f>IF($E19&lt;&gt;"Production","",IFERROR($AD19/$L19,""))</f>
        <v/>
      </c>
      <c r="AF19" s="17" t="n"/>
      <c r="AG19" s="17" t="n"/>
      <c r="AH19" s="16" t="n"/>
      <c r="AI19" s="17" t="n"/>
      <c r="AJ19" s="17" t="n"/>
      <c r="AK19" s="17" t="n"/>
      <c r="AL19" s="17" t="n"/>
      <c r="AM19" s="17" t="n"/>
      <c r="AN19" s="17" t="n"/>
    </row>
    <row r="20" ht="15" customHeight="1">
      <c r="A20" s="13">
        <f>IF(COUNTA($B20:$K20)=0,"",ROW()-1)</f>
        <v/>
      </c>
      <c r="B20" s="14" t="inlineStr">
        <is>
          <t>Invoice</t>
        </is>
      </c>
      <c r="C20" s="15" t="n">
        <v>46233</v>
      </c>
      <c r="D20" s="16" t="inlineStr">
        <is>
          <t>Support</t>
        </is>
      </c>
      <c r="E20" s="13">
        <f>IF($B20="","",IF($B20="WIP","WIP",IFERROR(INDEX(Lists!$G$4:$G$10,MATCH($D20,Lists!$F$4:$F$10,0)),"Unmapped")))</f>
        <v/>
      </c>
      <c r="F20" s="16" t="n"/>
      <c r="G20" s="16" t="inlineStr">
        <is>
          <t>DTTL</t>
        </is>
      </c>
      <c r="H20" s="14" t="inlineStr">
        <is>
          <t>26062501/2347</t>
        </is>
      </c>
      <c r="I20" s="16" t="inlineStr">
        <is>
          <t>DH Travel 06-07/07 &amp; Ad-hoc Tech Support 30/07 &amp; Market Shapers</t>
        </is>
      </c>
      <c r="J20" s="14" t="inlineStr">
        <is>
          <t>INV-10546</t>
        </is>
      </c>
      <c r="K20" s="17" t="n">
        <v>1672.5</v>
      </c>
      <c r="L20" s="18">
        <f>IF($K20="","",IF($E20="Production",$K20-N($AD20),$K20))</f>
        <v/>
      </c>
      <c r="M20" s="18">
        <f>IF($E20="Production",IF($K20="","",$K20-(N($AF20)+N($AG20))),IF($E20="Consulting",IF($K20="","",$K20-(N($AL20)+N($AM20)+N($AN20))),""))</f>
        <v/>
      </c>
      <c r="N20" s="19">
        <f>IFERROR($M20/$K20,"")</f>
        <v/>
      </c>
      <c r="O20" s="13">
        <f>IF(COUNTA($B20:$K20)=0,"",IF($C20="","No date",IF(AND($C20&gt;=Lists!$B$3,$C20&lt;Lists!$B$4),"In FY27","Outside FY27")))</f>
        <v/>
      </c>
      <c r="P20" s="13">
        <f>IF($E20&lt;&gt;"WIP","",IF($H20="","",IF(COUNTIFS($E$2:$E$20000,"&lt;&gt;WIP",$H$2:$H$20000,$H20)&gt;0,"Job already invoiced","")))</f>
        <v/>
      </c>
      <c r="Q20" s="16" t="n"/>
      <c r="R20" s="16" t="n"/>
      <c r="S20" s="15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7" t="n"/>
      <c r="AD20" s="17" t="n"/>
      <c r="AE20" s="19">
        <f>IF($E20&lt;&gt;"Production","",IFERROR($AD20/$L20,""))</f>
        <v/>
      </c>
      <c r="AF20" s="17" t="n"/>
      <c r="AG20" s="17" t="n"/>
      <c r="AH20" s="16" t="n"/>
      <c r="AI20" s="17" t="n"/>
      <c r="AJ20" s="17" t="n"/>
      <c r="AK20" s="17" t="n"/>
      <c r="AL20" s="17" t="n"/>
      <c r="AM20" s="17" t="n"/>
      <c r="AN20" s="17" t="n"/>
    </row>
    <row r="21" ht="15" customHeight="1">
      <c r="A21" s="13">
        <f>IF(COUNTA($B21:$K21)=0,"",ROW()-1)</f>
        <v/>
      </c>
      <c r="B21" s="14" t="inlineStr">
        <is>
          <t>Invoice</t>
        </is>
      </c>
      <c r="C21" s="15" t="n">
        <v>46233</v>
      </c>
      <c r="D21" s="16" t="inlineStr">
        <is>
          <t>Support</t>
        </is>
      </c>
      <c r="E21" s="13">
        <f>IF($B21="","",IF($B21="WIP","WIP",IFERROR(INDEX(Lists!$G$4:$G$10,MATCH($D21,Lists!$F$4:$F$10,0)),"Unmapped")))</f>
        <v/>
      </c>
      <c r="F21" s="16" t="n"/>
      <c r="G21" s="16" t="inlineStr">
        <is>
          <t>APN</t>
        </is>
      </c>
      <c r="H21" s="14" t="n">
        <v>2026021101</v>
      </c>
      <c r="I21" s="16" t="inlineStr">
        <is>
          <t>APN Quarterly AV Support</t>
        </is>
      </c>
      <c r="J21" s="14" t="inlineStr">
        <is>
          <t>INV-10550</t>
        </is>
      </c>
      <c r="K21" s="17" t="n">
        <v>1670</v>
      </c>
      <c r="L21" s="18">
        <f>IF($K21="","",IF($E21="Production",$K21-N($AD21),$K21))</f>
        <v/>
      </c>
      <c r="M21" s="18">
        <f>IF($E21="Production",IF($K21="","",$K21-(N($AF21)+N($AG21))),IF($E21="Consulting",IF($K21="","",$K21-(N($AL21)+N($AM21)+N($AN21))),""))</f>
        <v/>
      </c>
      <c r="N21" s="19">
        <f>IFERROR($M21/$K21,"")</f>
        <v/>
      </c>
      <c r="O21" s="13">
        <f>IF(COUNTA($B21:$K21)=0,"",IF($C21="","No date",IF(AND($C21&gt;=Lists!$B$3,$C21&lt;Lists!$B$4),"In FY27","Outside FY27")))</f>
        <v/>
      </c>
      <c r="P21" s="13">
        <f>IF($E21&lt;&gt;"WIP","",IF($H21="","",IF(COUNTIFS($E$2:$E$20000,"&lt;&gt;WIP",$H$2:$H$20000,$H21)&gt;0,"Job already invoiced","")))</f>
        <v/>
      </c>
      <c r="Q21" s="16" t="inlineStr">
        <is>
          <t>Invoice 1/2</t>
        </is>
      </c>
      <c r="R21" s="16" t="n"/>
      <c r="S21" s="15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7" t="n"/>
      <c r="AD21" s="17" t="n"/>
      <c r="AE21" s="19">
        <f>IF($E21&lt;&gt;"Production","",IFERROR($AD21/$L21,""))</f>
        <v/>
      </c>
      <c r="AF21" s="17" t="n"/>
      <c r="AG21" s="17" t="n"/>
      <c r="AH21" s="16" t="n"/>
      <c r="AI21" s="17" t="n"/>
      <c r="AJ21" s="17" t="n"/>
      <c r="AK21" s="17" t="n"/>
      <c r="AL21" s="17" t="n"/>
      <c r="AM21" s="17" t="n"/>
      <c r="AN21" s="17" t="n"/>
    </row>
    <row r="22" ht="15" customHeight="1">
      <c r="A22" s="13">
        <f>IF(COUNTA($B22:$K22)=0,"",ROW()-1)</f>
        <v/>
      </c>
      <c r="B22" s="14" t="inlineStr">
        <is>
          <t>Invoice</t>
        </is>
      </c>
      <c r="C22" s="15" t="n">
        <v>46234</v>
      </c>
      <c r="D22" s="16" t="inlineStr">
        <is>
          <t>Support</t>
        </is>
      </c>
      <c r="E22" s="13">
        <f>IF($B22="","",IF($B22="WIP","WIP",IFERROR(INDEX(Lists!$G$4:$G$10,MATCH($D22,Lists!$F$4:$F$10,0)),"Unmapped")))</f>
        <v/>
      </c>
      <c r="F22" s="16" t="n"/>
      <c r="G22" s="16" t="inlineStr">
        <is>
          <t>Aware Super</t>
        </is>
      </c>
      <c r="H22" s="14" t="n">
        <v>26022301</v>
      </c>
      <c r="I22" s="16" t="inlineStr">
        <is>
          <t>Aware Super Contract July 2026</t>
        </is>
      </c>
      <c r="J22" s="14" t="inlineStr">
        <is>
          <t>INV-10551</t>
        </is>
      </c>
      <c r="K22" s="17" t="n">
        <v>11000</v>
      </c>
      <c r="L22" s="18">
        <f>IF($K22="","",IF($E22="Production",$K22-N($AD22),$K22))</f>
        <v/>
      </c>
      <c r="M22" s="18">
        <f>IF($E22="Production",IF($K22="","",$K22-(N($AF22)+N($AG22))),IF($E22="Consulting",IF($K22="","",$K22-(N($AL22)+N($AM22)+N($AN22))),""))</f>
        <v/>
      </c>
      <c r="N22" s="19">
        <f>IFERROR($M22/$K22,"")</f>
        <v/>
      </c>
      <c r="O22" s="13">
        <f>IF(COUNTA($B22:$K22)=0,"",IF($C22="","No date",IF(AND($C22&gt;=Lists!$B$3,$C22&lt;Lists!$B$4),"In FY27","Outside FY27")))</f>
        <v/>
      </c>
      <c r="P22" s="13">
        <f>IF($E22&lt;&gt;"WIP","",IF($H22="","",IF(COUNTIFS($E$2:$E$20000,"&lt;&gt;WIP",$H$2:$H$20000,$H22)&gt;0,"Job already invoiced","")))</f>
        <v/>
      </c>
      <c r="Q22" s="16" t="n"/>
      <c r="R22" s="16" t="n"/>
      <c r="S22" s="15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7" t="n"/>
      <c r="AD22" s="17" t="n"/>
      <c r="AE22" s="19">
        <f>IF($E22&lt;&gt;"Production","",IFERROR($AD22/$L22,""))</f>
        <v/>
      </c>
      <c r="AF22" s="17" t="n"/>
      <c r="AG22" s="17" t="n"/>
      <c r="AH22" s="16" t="n"/>
      <c r="AI22" s="17" t="n"/>
      <c r="AJ22" s="17" t="n"/>
      <c r="AK22" s="17" t="n"/>
      <c r="AL22" s="17" t="n"/>
      <c r="AM22" s="17" t="n"/>
      <c r="AN22" s="17" t="n"/>
    </row>
    <row r="23" ht="15" customHeight="1">
      <c r="A23" s="13">
        <f>IF(COUNTA($B23:$K23)=0,"",ROW()-1)</f>
        <v/>
      </c>
      <c r="B23" s="14" t="inlineStr">
        <is>
          <t>Invoice</t>
        </is>
      </c>
      <c r="C23" s="15" t="n">
        <v>46265</v>
      </c>
      <c r="D23" s="16" t="inlineStr">
        <is>
          <t>Support</t>
        </is>
      </c>
      <c r="E23" s="13">
        <f>IF($B23="","",IF($B23="WIP","WIP",IFERROR(INDEX(Lists!$G$4:$G$10,MATCH($D23,Lists!$F$4:$F$10,0)),"Unmapped")))</f>
        <v/>
      </c>
      <c r="F23" s="16" t="n"/>
      <c r="G23" s="16" t="inlineStr">
        <is>
          <t>DTTL</t>
        </is>
      </c>
      <c r="H23" s="14" t="n">
        <v>2608502</v>
      </c>
      <c r="I23" s="16" t="inlineStr">
        <is>
          <t>DTTL Additionals August 2026</t>
        </is>
      </c>
      <c r="J23" s="14" t="inlineStr">
        <is>
          <t>INV-10597</t>
        </is>
      </c>
      <c r="K23" s="17" t="n">
        <v>8419.620000000001</v>
      </c>
      <c r="L23" s="18">
        <f>IF($K23="","",IF($E23="Production",$K23-N($AD23),$K23))</f>
        <v/>
      </c>
      <c r="M23" s="18">
        <f>IF($E23="Production",IF($K23="","",$K23-(N($AF23)+N($AG23))),IF($E23="Consulting",IF($K23="","",$K23-(N($AL23)+N($AM23)+N($AN23))),""))</f>
        <v/>
      </c>
      <c r="N23" s="19">
        <f>IFERROR($M23/$K23,"")</f>
        <v/>
      </c>
      <c r="O23" s="13">
        <f>IF(COUNTA($B23:$K23)=0,"",IF($C23="","No date",IF(AND($C23&gt;=Lists!$B$3,$C23&lt;Lists!$B$4),"In FY27","Outside FY27")))</f>
        <v/>
      </c>
      <c r="P23" s="13">
        <f>IF($E23&lt;&gt;"WIP","",IF($H23="","",IF(COUNTIFS($E$2:$E$20000,"&lt;&gt;WIP",$H$2:$H$20000,$H23)&gt;0,"Job already invoiced","")))</f>
        <v/>
      </c>
      <c r="Q23" s="16" t="n"/>
      <c r="R23" s="16" t="n"/>
      <c r="S23" s="15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7" t="n"/>
      <c r="AD23" s="17" t="n"/>
      <c r="AE23" s="19">
        <f>IF($E23&lt;&gt;"Production","",IFERROR($AD23/$L23,""))</f>
        <v/>
      </c>
      <c r="AF23" s="17" t="n"/>
      <c r="AG23" s="17" t="n"/>
      <c r="AH23" s="16" t="n"/>
      <c r="AI23" s="17" t="n"/>
      <c r="AJ23" s="17" t="n"/>
      <c r="AK23" s="17" t="n"/>
      <c r="AL23" s="17" t="n"/>
      <c r="AM23" s="17" t="n"/>
      <c r="AN23" s="17" t="n"/>
    </row>
    <row r="24" ht="15" customHeight="1">
      <c r="A24" s="13">
        <f>IF(COUNTA($B24:$K24)=0,"",ROW()-1)</f>
        <v/>
      </c>
      <c r="B24" s="14" t="inlineStr">
        <is>
          <t>Invoice</t>
        </is>
      </c>
      <c r="C24" s="15" t="n"/>
      <c r="D24" s="16" t="inlineStr">
        <is>
          <t>Support</t>
        </is>
      </c>
      <c r="E24" s="13">
        <f>IF($B24="","",IF($B24="WIP","WIP",IFERROR(INDEX(Lists!$G$4:$G$10,MATCH($D24,Lists!$F$4:$F$10,0)),"Unmapped")))</f>
        <v/>
      </c>
      <c r="F24" s="16" t="n"/>
      <c r="G24" s="16" t="inlineStr">
        <is>
          <t>PWC</t>
        </is>
      </c>
      <c r="H24" s="14" t="n">
        <v>26073102</v>
      </c>
      <c r="I24" s="16" t="inlineStr">
        <is>
          <t>Pool of Hours - National AV/IT Support</t>
        </is>
      </c>
      <c r="J24" s="14" t="inlineStr">
        <is>
          <t>INV-10598</t>
        </is>
      </c>
      <c r="K24" s="17" t="n">
        <v>8500</v>
      </c>
      <c r="L24" s="18">
        <f>IF($K24="","",IF($E24="Production",$K24-N($AD24),$K24))</f>
        <v/>
      </c>
      <c r="M24" s="18">
        <f>IF($E24="Production",IF($K24="","",$K24-(N($AF24)+N($AG24))),IF($E24="Consulting",IF($K24="","",$K24-(N($AL24)+N($AM24)+N($AN24))),""))</f>
        <v/>
      </c>
      <c r="N24" s="19">
        <f>IFERROR($M24/$K24,"")</f>
        <v/>
      </c>
      <c r="O24" s="13">
        <f>IF(COUNTA($B24:$K24)=0,"",IF($C24="","No date",IF(AND($C24&gt;=Lists!$B$3,$C24&lt;Lists!$B$4),"In FY27","Outside FY27")))</f>
        <v/>
      </c>
      <c r="P24" s="13">
        <f>IF($E24&lt;&gt;"WIP","",IF($H24="","",IF(COUNTIFS($E$2:$E$20000,"&lt;&gt;WIP",$H$2:$H$20000,$H24)&gt;0,"Job already invoiced","")))</f>
        <v/>
      </c>
      <c r="Q24" s="16" t="inlineStr">
        <is>
          <t>PO2601703509</t>
        </is>
      </c>
      <c r="R24" s="16" t="n"/>
      <c r="S24" s="15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7" t="n"/>
      <c r="AD24" s="17" t="n"/>
      <c r="AE24" s="19">
        <f>IF($E24&lt;&gt;"Production","",IFERROR($AD24/$L24,""))</f>
        <v/>
      </c>
      <c r="AF24" s="17" t="n"/>
      <c r="AG24" s="17" t="n"/>
      <c r="AH24" s="16" t="n"/>
      <c r="AI24" s="17" t="n"/>
      <c r="AJ24" s="17" t="n"/>
      <c r="AK24" s="17" t="n"/>
      <c r="AL24" s="17" t="n"/>
      <c r="AM24" s="17" t="n"/>
      <c r="AN24" s="17" t="n"/>
    </row>
    <row r="25" ht="15" customHeight="1">
      <c r="A25" s="13">
        <f>IF(COUNTA($B25:$K25)=0,"",ROW()-1)</f>
        <v/>
      </c>
      <c r="B25" s="14" t="inlineStr">
        <is>
          <t>Invoice</t>
        </is>
      </c>
      <c r="C25" s="15" t="n"/>
      <c r="D25" s="16" t="inlineStr">
        <is>
          <t>Support</t>
        </is>
      </c>
      <c r="E25" s="13">
        <f>IF($B25="","",IF($B25="WIP","WIP",IFERROR(INDEX(Lists!$G$4:$G$10,MATCH($D25,Lists!$F$4:$F$10,0)),"Unmapped")))</f>
        <v/>
      </c>
      <c r="F25" s="16" t="n"/>
      <c r="G25" s="16" t="inlineStr">
        <is>
          <t>CBA</t>
        </is>
      </c>
      <c r="H25" s="14" t="n">
        <v>1350</v>
      </c>
      <c r="I25" s="16" t="inlineStr">
        <is>
          <t>CBA BNE August 2026</t>
        </is>
      </c>
      <c r="J25" s="14" t="inlineStr">
        <is>
          <t>INV-10565</t>
        </is>
      </c>
      <c r="K25" s="17" t="n">
        <v>5940</v>
      </c>
      <c r="L25" s="18">
        <f>IF($K25="","",IF($E25="Production",$K25-N($AD25),$K25))</f>
        <v/>
      </c>
      <c r="M25" s="18">
        <f>IF($E25="Production",IF($K25="","",$K25-(N($AF25)+N($AG25))),IF($E25="Consulting",IF($K25="","",$K25-(N($AL25)+N($AM25)+N($AN25))),""))</f>
        <v/>
      </c>
      <c r="N25" s="19">
        <f>IFERROR($M25/$K25,"")</f>
        <v/>
      </c>
      <c r="O25" s="13">
        <f>IF(COUNTA($B25:$K25)=0,"",IF($C25="","No date",IF(AND($C25&gt;=Lists!$B$3,$C25&lt;Lists!$B$4),"In FY27","Outside FY27")))</f>
        <v/>
      </c>
      <c r="P25" s="13">
        <f>IF($E25&lt;&gt;"WIP","",IF($H25="","",IF(COUNTIFS($E$2:$E$20000,"&lt;&gt;WIP",$H$2:$H$20000,$H25)&gt;0,"Job already invoiced","")))</f>
        <v/>
      </c>
      <c r="Q25" s="16" t="n"/>
      <c r="R25" s="16" t="n"/>
      <c r="S25" s="15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7" t="n"/>
      <c r="AD25" s="17" t="n"/>
      <c r="AE25" s="19">
        <f>IF($E25&lt;&gt;"Production","",IFERROR($AD25/$L25,""))</f>
        <v/>
      </c>
      <c r="AF25" s="17" t="n"/>
      <c r="AG25" s="17" t="n"/>
      <c r="AH25" s="16" t="n"/>
      <c r="AI25" s="17" t="n"/>
      <c r="AJ25" s="17" t="n"/>
      <c r="AK25" s="17" t="n"/>
      <c r="AL25" s="17" t="n"/>
      <c r="AM25" s="17" t="n"/>
      <c r="AN25" s="17" t="n"/>
    </row>
    <row r="26" ht="15" customHeight="1">
      <c r="A26" s="13">
        <f>IF(COUNTA($B26:$K26)=0,"",ROW()-1)</f>
        <v/>
      </c>
      <c r="B26" s="14" t="inlineStr">
        <is>
          <t>Invoice</t>
        </is>
      </c>
      <c r="C26" s="15" t="n"/>
      <c r="D26" s="16" t="inlineStr">
        <is>
          <t>Support</t>
        </is>
      </c>
      <c r="E26" s="13">
        <f>IF($B26="","",IF($B26="WIP","WIP",IFERROR(INDEX(Lists!$G$4:$G$10,MATCH($D26,Lists!$F$4:$F$10,0)),"Unmapped")))</f>
        <v/>
      </c>
      <c r="F26" s="16" t="n"/>
      <c r="G26" s="16" t="inlineStr">
        <is>
          <t>CBA</t>
        </is>
      </c>
      <c r="H26" s="14" t="inlineStr">
        <is>
          <t>585/586/1755</t>
        </is>
      </c>
      <c r="I26" s="16" t="inlineStr">
        <is>
          <t>CBP August 2026</t>
        </is>
      </c>
      <c r="J26" s="14" t="inlineStr">
        <is>
          <t>INV-10566</t>
        </is>
      </c>
      <c r="K26" s="17" t="n">
        <v>22708</v>
      </c>
      <c r="L26" s="18">
        <f>IF($K26="","",IF($E26="Production",$K26-N($AD26),$K26))</f>
        <v/>
      </c>
      <c r="M26" s="18">
        <f>IF($E26="Production",IF($K26="","",$K26-(N($AF26)+N($AG26))),IF($E26="Consulting",IF($K26="","",$K26-(N($AL26)+N($AM26)+N($AN26))),""))</f>
        <v/>
      </c>
      <c r="N26" s="19">
        <f>IFERROR($M26/$K26,"")</f>
        <v/>
      </c>
      <c r="O26" s="13">
        <f>IF(COUNTA($B26:$K26)=0,"",IF($C26="","No date",IF(AND($C26&gt;=Lists!$B$3,$C26&lt;Lists!$B$4),"In FY27","Outside FY27")))</f>
        <v/>
      </c>
      <c r="P26" s="13">
        <f>IF($E26&lt;&gt;"WIP","",IF($H26="","",IF(COUNTIFS($E$2:$E$20000,"&lt;&gt;WIP",$H$2:$H$20000,$H26)&gt;0,"Job already invoiced","")))</f>
        <v/>
      </c>
      <c r="Q26" s="16" t="n"/>
      <c r="R26" s="16" t="n"/>
      <c r="S26" s="15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7" t="n"/>
      <c r="AD26" s="17" t="n"/>
      <c r="AE26" s="19">
        <f>IF($E26&lt;&gt;"Production","",IFERROR($AD26/$L26,""))</f>
        <v/>
      </c>
      <c r="AF26" s="17" t="n"/>
      <c r="AG26" s="17" t="n"/>
      <c r="AH26" s="16" t="n"/>
      <c r="AI26" s="17" t="n"/>
      <c r="AJ26" s="17" t="n"/>
      <c r="AK26" s="17" t="n"/>
      <c r="AL26" s="17" t="n"/>
      <c r="AM26" s="17" t="n"/>
      <c r="AN26" s="17" t="n"/>
    </row>
    <row r="27" ht="15" customHeight="1">
      <c r="A27" s="13">
        <f>IF(COUNTA($B27:$K27)=0,"",ROW()-1)</f>
        <v/>
      </c>
      <c r="B27" s="14" t="inlineStr">
        <is>
          <t>Invoice</t>
        </is>
      </c>
      <c r="C27" s="15" t="n"/>
      <c r="D27" s="16" t="inlineStr">
        <is>
          <t>Support</t>
        </is>
      </c>
      <c r="E27" s="13">
        <f>IF($B27="","",IF($B27="WIP","WIP",IFERROR(INDEX(Lists!$G$4:$G$10,MATCH($D27,Lists!$F$4:$F$10,0)),"Unmapped")))</f>
        <v/>
      </c>
      <c r="F27" s="16" t="n"/>
      <c r="G27" s="16" t="inlineStr">
        <is>
          <t>CBA</t>
        </is>
      </c>
      <c r="H27" s="14" t="n">
        <v>587</v>
      </c>
      <c r="I27" s="16" t="inlineStr">
        <is>
          <t>CBS August 2026</t>
        </is>
      </c>
      <c r="J27" s="14" t="inlineStr">
        <is>
          <t>INV-10568</t>
        </is>
      </c>
      <c r="K27" s="17" t="n">
        <v>10720</v>
      </c>
      <c r="L27" s="18">
        <f>IF($K27="","",IF($E27="Production",$K27-N($AD27),$K27))</f>
        <v/>
      </c>
      <c r="M27" s="18">
        <f>IF($E27="Production",IF($K27="","",$K27-(N($AF27)+N($AG27))),IF($E27="Consulting",IF($K27="","",$K27-(N($AL27)+N($AM27)+N($AN27))),""))</f>
        <v/>
      </c>
      <c r="N27" s="19">
        <f>IFERROR($M27/$K27,"")</f>
        <v/>
      </c>
      <c r="O27" s="13">
        <f>IF(COUNTA($B27:$K27)=0,"",IF($C27="","No date",IF(AND($C27&gt;=Lists!$B$3,$C27&lt;Lists!$B$4),"In FY27","Outside FY27")))</f>
        <v/>
      </c>
      <c r="P27" s="13">
        <f>IF($E27&lt;&gt;"WIP","",IF($H27="","",IF(COUNTIFS($E$2:$E$20000,"&lt;&gt;WIP",$H$2:$H$20000,$H27)&gt;0,"Job already invoiced","")))</f>
        <v/>
      </c>
      <c r="Q27" s="16" t="n"/>
      <c r="R27" s="16" t="n"/>
      <c r="S27" s="15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7" t="n"/>
      <c r="AD27" s="17" t="n"/>
      <c r="AE27" s="19">
        <f>IF($E27&lt;&gt;"Production","",IFERROR($AD27/$L27,""))</f>
        <v/>
      </c>
      <c r="AF27" s="17" t="n"/>
      <c r="AG27" s="17" t="n"/>
      <c r="AH27" s="16" t="n"/>
      <c r="AI27" s="17" t="n"/>
      <c r="AJ27" s="17" t="n"/>
      <c r="AK27" s="17" t="n"/>
      <c r="AL27" s="17" t="n"/>
      <c r="AM27" s="17" t="n"/>
      <c r="AN27" s="17" t="n"/>
    </row>
    <row r="28" ht="15" customHeight="1">
      <c r="A28" s="13">
        <f>IF(COUNTA($B28:$K28)=0,"",ROW()-1)</f>
        <v/>
      </c>
      <c r="B28" s="14" t="inlineStr">
        <is>
          <t>Invoice</t>
        </is>
      </c>
      <c r="C28" s="15" t="n">
        <v>46265</v>
      </c>
      <c r="D28" s="16" t="inlineStr">
        <is>
          <t>Support</t>
        </is>
      </c>
      <c r="E28" s="13">
        <f>IF($B28="","",IF($B28="WIP","WIP",IFERROR(INDEX(Lists!$G$4:$G$10,MATCH($D28,Lists!$F$4:$F$10,0)),"Unmapped")))</f>
        <v/>
      </c>
      <c r="F28" s="16" t="n"/>
      <c r="G28" s="16" t="inlineStr">
        <is>
          <t>DTTL</t>
        </is>
      </c>
      <c r="H28" s="14" t="inlineStr">
        <is>
          <t>2846/1401/725/1400/1530/1862/2402/2849/974</t>
        </is>
      </c>
      <c r="I28" s="16" t="inlineStr">
        <is>
          <t>DTTL Contract August 2026</t>
        </is>
      </c>
      <c r="J28" s="14" t="inlineStr">
        <is>
          <t>INV-10569</t>
        </is>
      </c>
      <c r="K28" s="17" t="n">
        <v>103625.44</v>
      </c>
      <c r="L28" s="18">
        <f>IF($K28="","",IF($E28="Production",$K28-N($AD28),$K28))</f>
        <v/>
      </c>
      <c r="M28" s="18">
        <f>IF($E28="Production",IF($K28="","",$K28-(N($AF28)+N($AG28))),IF($E28="Consulting",IF($K28="","",$K28-(N($AL28)+N($AM28)+N($AN28))),""))</f>
        <v/>
      </c>
      <c r="N28" s="19">
        <f>IFERROR($M28/$K28,"")</f>
        <v/>
      </c>
      <c r="O28" s="13">
        <f>IF(COUNTA($B28:$K28)=0,"",IF($C28="","No date",IF(AND($C28&gt;=Lists!$B$3,$C28&lt;Lists!$B$4),"In FY27","Outside FY27")))</f>
        <v/>
      </c>
      <c r="P28" s="13">
        <f>IF($E28&lt;&gt;"WIP","",IF($H28="","",IF(COUNTIFS($E$2:$E$20000,"&lt;&gt;WIP",$H$2:$H$20000,$H28)&gt;0,"Job already invoiced","")))</f>
        <v/>
      </c>
      <c r="Q28" s="16" t="n"/>
      <c r="R28" s="16" t="n"/>
      <c r="S28" s="15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7" t="n"/>
      <c r="AD28" s="17" t="n"/>
      <c r="AE28" s="19">
        <f>IF($E28&lt;&gt;"Production","",IFERROR($AD28/$L28,""))</f>
        <v/>
      </c>
      <c r="AF28" s="17" t="n"/>
      <c r="AG28" s="17" t="n"/>
      <c r="AH28" s="16" t="n"/>
      <c r="AI28" s="17" t="n"/>
      <c r="AJ28" s="17" t="n"/>
      <c r="AK28" s="17" t="n"/>
      <c r="AL28" s="17" t="n"/>
      <c r="AM28" s="17" t="n"/>
      <c r="AN28" s="17" t="n"/>
    </row>
    <row r="29" ht="15" customHeight="1">
      <c r="A29" s="13">
        <f>IF(COUNTA($B29:$K29)=0,"",ROW()-1)</f>
        <v/>
      </c>
      <c r="B29" s="14" t="inlineStr">
        <is>
          <t>Invoice</t>
        </is>
      </c>
      <c r="C29" s="15" t="n"/>
      <c r="D29" s="16" t="inlineStr">
        <is>
          <t>Support</t>
        </is>
      </c>
      <c r="E29" s="13">
        <f>IF($B29="","",IF($B29="WIP","WIP",IFERROR(INDEX(Lists!$G$4:$G$10,MATCH($D29,Lists!$F$4:$F$10,0)),"Unmapped")))</f>
        <v/>
      </c>
      <c r="F29" s="16" t="n"/>
      <c r="G29" s="16" t="inlineStr">
        <is>
          <t>BW</t>
        </is>
      </c>
      <c r="H29" s="14" t="inlineStr">
        <is>
          <t>732/1144</t>
        </is>
      </c>
      <c r="I29" s="16" t="inlineStr">
        <is>
          <t>BW Contract August 2026</t>
        </is>
      </c>
      <c r="J29" s="14" t="inlineStr">
        <is>
          <t>INV-10570</t>
        </is>
      </c>
      <c r="K29" s="17" t="n">
        <v>15113.75</v>
      </c>
      <c r="L29" s="18">
        <f>IF($K29="","",IF($E29="Production",$K29-N($AD29),$K29))</f>
        <v/>
      </c>
      <c r="M29" s="18">
        <f>IF($E29="Production",IF($K29="","",$K29-(N($AF29)+N($AG29))),IF($E29="Consulting",IF($K29="","",$K29-(N($AL29)+N($AM29)+N($AN29))),""))</f>
        <v/>
      </c>
      <c r="N29" s="19">
        <f>IFERROR($M29/$K29,"")</f>
        <v/>
      </c>
      <c r="O29" s="13">
        <f>IF(COUNTA($B29:$K29)=0,"",IF($C29="","No date",IF(AND($C29&gt;=Lists!$B$3,$C29&lt;Lists!$B$4),"In FY27","Outside FY27")))</f>
        <v/>
      </c>
      <c r="P29" s="13">
        <f>IF($E29&lt;&gt;"WIP","",IF($H29="","",IF(COUNTIFS($E$2:$E$20000,"&lt;&gt;WIP",$H$2:$H$20000,$H29)&gt;0,"Job already invoiced","")))</f>
        <v/>
      </c>
      <c r="Q29" s="16" t="n"/>
      <c r="R29" s="16" t="n"/>
      <c r="S29" s="15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7" t="n"/>
      <c r="AD29" s="17" t="n"/>
      <c r="AE29" s="19">
        <f>IF($E29&lt;&gt;"Production","",IFERROR($AD29/$L29,""))</f>
        <v/>
      </c>
      <c r="AF29" s="17" t="n"/>
      <c r="AG29" s="17" t="n"/>
      <c r="AH29" s="16" t="n"/>
      <c r="AI29" s="17" t="n"/>
      <c r="AJ29" s="17" t="n"/>
      <c r="AK29" s="17" t="n"/>
      <c r="AL29" s="17" t="n"/>
      <c r="AM29" s="17" t="n"/>
      <c r="AN29" s="17" t="n"/>
    </row>
    <row r="30" ht="15" customHeight="1">
      <c r="A30" s="13">
        <f>IF(COUNTA($B30:$K30)=0,"",ROW()-1)</f>
        <v/>
      </c>
      <c r="B30" s="14" t="inlineStr">
        <is>
          <t>Invoice</t>
        </is>
      </c>
      <c r="C30" s="15" t="n"/>
      <c r="D30" s="16" t="inlineStr">
        <is>
          <t>Support</t>
        </is>
      </c>
      <c r="E30" s="13">
        <f>IF($B30="","",IF($B30="WIP","WIP",IFERROR(INDEX(Lists!$G$4:$G$10,MATCH($D30,Lists!$F$4:$F$10,0)),"Unmapped")))</f>
        <v/>
      </c>
      <c r="F30" s="16" t="n"/>
      <c r="G30" s="16" t="inlineStr">
        <is>
          <t>BW</t>
        </is>
      </c>
      <c r="H30" s="14" t="n">
        <v>2192</v>
      </c>
      <c r="I30" s="16" t="inlineStr">
        <is>
          <t>BW Additionals August 2026</t>
        </is>
      </c>
      <c r="J30" s="14" t="inlineStr">
        <is>
          <t>INV-10571</t>
        </is>
      </c>
      <c r="K30" s="17" t="n">
        <v>2080</v>
      </c>
      <c r="L30" s="18">
        <f>IF($K30="","",IF($E30="Production",$K30-N($AD30),$K30))</f>
        <v/>
      </c>
      <c r="M30" s="18">
        <f>IF($E30="Production",IF($K30="","",$K30-(N($AF30)+N($AG30))),IF($E30="Consulting",IF($K30="","",$K30-(N($AL30)+N($AM30)+N($AN30))),""))</f>
        <v/>
      </c>
      <c r="N30" s="19">
        <f>IFERROR($M30/$K30,"")</f>
        <v/>
      </c>
      <c r="O30" s="13">
        <f>IF(COUNTA($B30:$K30)=0,"",IF($C30="","No date",IF(AND($C30&gt;=Lists!$B$3,$C30&lt;Lists!$B$4),"In FY27","Outside FY27")))</f>
        <v/>
      </c>
      <c r="P30" s="13">
        <f>IF($E30&lt;&gt;"WIP","",IF($H30="","",IF(COUNTIFS($E$2:$E$20000,"&lt;&gt;WIP",$H$2:$H$20000,$H30)&gt;0,"Job already invoiced","")))</f>
        <v/>
      </c>
      <c r="Q30" s="16" t="n"/>
      <c r="R30" s="16" t="n"/>
      <c r="S30" s="15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7" t="n"/>
      <c r="AD30" s="17" t="n"/>
      <c r="AE30" s="19">
        <f>IF($E30&lt;&gt;"Production","",IFERROR($AD30/$L30,""))</f>
        <v/>
      </c>
      <c r="AF30" s="17" t="n"/>
      <c r="AG30" s="17" t="n"/>
      <c r="AH30" s="16" t="n"/>
      <c r="AI30" s="17" t="n"/>
      <c r="AJ30" s="17" t="n"/>
      <c r="AK30" s="17" t="n"/>
      <c r="AL30" s="17" t="n"/>
      <c r="AM30" s="17" t="n"/>
      <c r="AN30" s="17" t="n"/>
    </row>
    <row r="31" ht="15" customHeight="1">
      <c r="A31" s="13">
        <f>IF(COUNTA($B31:$K31)=0,"",ROW()-1)</f>
        <v/>
      </c>
      <c r="B31" s="14" t="inlineStr">
        <is>
          <t>Invoice</t>
        </is>
      </c>
      <c r="C31" s="15" t="n"/>
      <c r="D31" s="16" t="inlineStr">
        <is>
          <t>Support</t>
        </is>
      </c>
      <c r="E31" s="13">
        <f>IF($B31="","",IF($B31="WIP","WIP",IFERROR(INDEX(Lists!$G$4:$G$10,MATCH($D31,Lists!$F$4:$F$10,0)),"Unmapped")))</f>
        <v/>
      </c>
      <c r="F31" s="16" t="n"/>
      <c r="G31" s="16" t="inlineStr">
        <is>
          <t>PWC</t>
        </is>
      </c>
      <c r="H31" s="14" t="n">
        <v>2488</v>
      </c>
      <c r="I31" s="16" t="inlineStr">
        <is>
          <t>PWC Brisbane August 2026</t>
        </is>
      </c>
      <c r="J31" s="14" t="inlineStr">
        <is>
          <t>INV-10572</t>
        </is>
      </c>
      <c r="K31" s="17" t="n">
        <v>7150</v>
      </c>
      <c r="L31" s="18">
        <f>IF($K31="","",IF($E31="Production",$K31-N($AD31),$K31))</f>
        <v/>
      </c>
      <c r="M31" s="18">
        <f>IF($E31="Production",IF($K31="","",$K31-(N($AF31)+N($AG31))),IF($E31="Consulting",IF($K31="","",$K31-(N($AL31)+N($AM31)+N($AN31))),""))</f>
        <v/>
      </c>
      <c r="N31" s="19">
        <f>IFERROR($M31/$K31,"")</f>
        <v/>
      </c>
      <c r="O31" s="13">
        <f>IF(COUNTA($B31:$K31)=0,"",IF($C31="","No date",IF(AND($C31&gt;=Lists!$B$3,$C31&lt;Lists!$B$4),"In FY27","Outside FY27")))</f>
        <v/>
      </c>
      <c r="P31" s="13">
        <f>IF($E31&lt;&gt;"WIP","",IF($H31="","",IF(COUNTIFS($E$2:$E$20000,"&lt;&gt;WIP",$H$2:$H$20000,$H31)&gt;0,"Job already invoiced","")))</f>
        <v/>
      </c>
      <c r="Q31" s="16" t="n"/>
      <c r="R31" s="16" t="n"/>
      <c r="S31" s="15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7" t="n"/>
      <c r="AD31" s="17" t="n"/>
      <c r="AE31" s="19">
        <f>IF($E31&lt;&gt;"Production","",IFERROR($AD31/$L31,""))</f>
        <v/>
      </c>
      <c r="AF31" s="17" t="n"/>
      <c r="AG31" s="17" t="n"/>
      <c r="AH31" s="16" t="n"/>
      <c r="AI31" s="17" t="n"/>
      <c r="AJ31" s="17" t="n"/>
      <c r="AK31" s="17" t="n"/>
      <c r="AL31" s="17" t="n"/>
      <c r="AM31" s="17" t="n"/>
      <c r="AN31" s="17" t="n"/>
    </row>
    <row r="32" ht="15" customHeight="1">
      <c r="A32" s="13">
        <f>IF(COUNTA($B32:$K32)=0,"",ROW()-1)</f>
        <v/>
      </c>
      <c r="B32" s="14" t="inlineStr">
        <is>
          <t>Invoice</t>
        </is>
      </c>
      <c r="C32" s="15" t="n"/>
      <c r="D32" s="16" t="inlineStr">
        <is>
          <t>Support</t>
        </is>
      </c>
      <c r="E32" s="13">
        <f>IF($B32="","",IF($B32="WIP","WIP",IFERROR(INDEX(Lists!$G$4:$G$10,MATCH($D32,Lists!$F$4:$F$10,0)),"Unmapped")))</f>
        <v/>
      </c>
      <c r="F32" s="16" t="n"/>
      <c r="G32" s="16" t="inlineStr">
        <is>
          <t>Gen-E</t>
        </is>
      </c>
      <c r="H32" s="14" t="n">
        <v>26021602</v>
      </c>
      <c r="I32" s="16" t="inlineStr">
        <is>
          <t>Gen-E ABS August 2026</t>
        </is>
      </c>
      <c r="J32" s="14" t="inlineStr">
        <is>
          <t>INV-10573</t>
        </is>
      </c>
      <c r="K32" s="17" t="n">
        <v>12388.8</v>
      </c>
      <c r="L32" s="18">
        <f>IF($K32="","",IF($E32="Production",$K32-N($AD32),$K32))</f>
        <v/>
      </c>
      <c r="M32" s="18">
        <f>IF($E32="Production",IF($K32="","",$K32-(N($AF32)+N($AG32))),IF($E32="Consulting",IF($K32="","",$K32-(N($AL32)+N($AM32)+N($AN32))),""))</f>
        <v/>
      </c>
      <c r="N32" s="19">
        <f>IFERROR($M32/$K32,"")</f>
        <v/>
      </c>
      <c r="O32" s="13">
        <f>IF(COUNTA($B32:$K32)=0,"",IF($C32="","No date",IF(AND($C32&gt;=Lists!$B$3,$C32&lt;Lists!$B$4),"In FY27","Outside FY27")))</f>
        <v/>
      </c>
      <c r="P32" s="13">
        <f>IF($E32&lt;&gt;"WIP","",IF($H32="","",IF(COUNTIFS($E$2:$E$20000,"&lt;&gt;WIP",$H$2:$H$20000,$H32)&gt;0,"Job already invoiced","")))</f>
        <v/>
      </c>
      <c r="Q32" s="16" t="n"/>
      <c r="R32" s="16" t="n"/>
      <c r="S32" s="15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7" t="n"/>
      <c r="AD32" s="17" t="n"/>
      <c r="AE32" s="19">
        <f>IF($E32&lt;&gt;"Production","",IFERROR($AD32/$L32,""))</f>
        <v/>
      </c>
      <c r="AF32" s="17" t="n"/>
      <c r="AG32" s="17" t="n"/>
      <c r="AH32" s="16" t="n"/>
      <c r="AI32" s="17" t="n"/>
      <c r="AJ32" s="17" t="n"/>
      <c r="AK32" s="17" t="n"/>
      <c r="AL32" s="17" t="n"/>
      <c r="AM32" s="17" t="n"/>
      <c r="AN32" s="17" t="n"/>
    </row>
    <row r="33" ht="15" customHeight="1">
      <c r="A33" s="13">
        <f>IF(COUNTA($B33:$K33)=0,"",ROW()-1)</f>
        <v/>
      </c>
      <c r="B33" s="14" t="inlineStr">
        <is>
          <t>Invoice</t>
        </is>
      </c>
      <c r="C33" s="15" t="n"/>
      <c r="D33" s="16" t="inlineStr">
        <is>
          <t>Support</t>
        </is>
      </c>
      <c r="E33" s="13">
        <f>IF($B33="","",IF($B33="WIP","WIP",IFERROR(INDEX(Lists!$G$4:$G$10,MATCH($D33,Lists!$F$4:$F$10,0)),"Unmapped")))</f>
        <v/>
      </c>
      <c r="F33" s="16" t="n"/>
      <c r="G33" s="16" t="inlineStr">
        <is>
          <t>CBA</t>
        </is>
      </c>
      <c r="H33" s="14" t="n">
        <v>26043001</v>
      </c>
      <c r="I33" s="16" t="inlineStr">
        <is>
          <t>CBA Mel August 2026</t>
        </is>
      </c>
      <c r="J33" s="14" t="inlineStr">
        <is>
          <t>INV-10582</t>
        </is>
      </c>
      <c r="K33" s="17" t="n">
        <v>11377.12</v>
      </c>
      <c r="L33" s="18">
        <f>IF($K33="","",IF($E33="Production",$K33-N($AD33),$K33))</f>
        <v/>
      </c>
      <c r="M33" s="18">
        <f>IF($E33="Production",IF($K33="","",$K33-(N($AF33)+N($AG33))),IF($E33="Consulting",IF($K33="","",$K33-(N($AL33)+N($AM33)+N($AN33))),""))</f>
        <v/>
      </c>
      <c r="N33" s="19">
        <f>IFERROR($M33/$K33,"")</f>
        <v/>
      </c>
      <c r="O33" s="13">
        <f>IF(COUNTA($B33:$K33)=0,"",IF($C33="","No date",IF(AND($C33&gt;=Lists!$B$3,$C33&lt;Lists!$B$4),"In FY27","Outside FY27")))</f>
        <v/>
      </c>
      <c r="P33" s="13">
        <f>IF($E33&lt;&gt;"WIP","",IF($H33="","",IF(COUNTIFS($E$2:$E$20000,"&lt;&gt;WIP",$H$2:$H$20000,$H33)&gt;0,"Job already invoiced","")))</f>
        <v/>
      </c>
      <c r="Q33" s="16" t="n"/>
      <c r="R33" s="16" t="n"/>
      <c r="S33" s="15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7" t="n"/>
      <c r="AD33" s="17" t="n"/>
      <c r="AE33" s="19">
        <f>IF($E33&lt;&gt;"Production","",IFERROR($AD33/$L33,""))</f>
        <v/>
      </c>
      <c r="AF33" s="17" t="n"/>
      <c r="AG33" s="17" t="n"/>
      <c r="AH33" s="16" t="n"/>
      <c r="AI33" s="17" t="n"/>
      <c r="AJ33" s="17" t="n"/>
      <c r="AK33" s="17" t="n"/>
      <c r="AL33" s="17" t="n"/>
      <c r="AM33" s="17" t="n"/>
      <c r="AN33" s="17" t="n"/>
    </row>
    <row r="34" ht="15" customHeight="1">
      <c r="A34" s="13">
        <f>IF(COUNTA($B34:$K34)=0,"",ROW()-1)</f>
        <v/>
      </c>
      <c r="B34" s="14" t="inlineStr">
        <is>
          <t>Invoice</t>
        </is>
      </c>
      <c r="C34" s="15" t="n">
        <v>46265</v>
      </c>
      <c r="D34" s="16" t="inlineStr">
        <is>
          <t>Support</t>
        </is>
      </c>
      <c r="E34" s="13">
        <f>IF($B34="","",IF($B34="WIP","WIP",IFERROR(INDEX(Lists!$G$4:$G$10,MATCH($D34,Lists!$F$4:$F$10,0)),"Unmapped")))</f>
        <v/>
      </c>
      <c r="F34" s="16" t="n"/>
      <c r="G34" s="16" t="inlineStr">
        <is>
          <t>Aware Super</t>
        </is>
      </c>
      <c r="H34" s="14" t="n">
        <v>26022301</v>
      </c>
      <c r="I34" s="16" t="inlineStr">
        <is>
          <t>Aware Super Contract August 2026</t>
        </is>
      </c>
      <c r="J34" s="14" t="inlineStr">
        <is>
          <t>INV-10583</t>
        </is>
      </c>
      <c r="K34" s="17" t="n">
        <v>11000</v>
      </c>
      <c r="L34" s="18">
        <f>IF($K34="","",IF($E34="Production",$K34-N($AD34),$K34))</f>
        <v/>
      </c>
      <c r="M34" s="18">
        <f>IF($E34="Production",IF($K34="","",$K34-(N($AF34)+N($AG34))),IF($E34="Consulting",IF($K34="","",$K34-(N($AL34)+N($AM34)+N($AN34))),""))</f>
        <v/>
      </c>
      <c r="N34" s="19">
        <f>IFERROR($M34/$K34,"")</f>
        <v/>
      </c>
      <c r="O34" s="13">
        <f>IF(COUNTA($B34:$K34)=0,"",IF($C34="","No date",IF(AND($C34&gt;=Lists!$B$3,$C34&lt;Lists!$B$4),"In FY27","Outside FY27")))</f>
        <v/>
      </c>
      <c r="P34" s="13">
        <f>IF($E34&lt;&gt;"WIP","",IF($H34="","",IF(COUNTIFS($E$2:$E$20000,"&lt;&gt;WIP",$H$2:$H$20000,$H34)&gt;0,"Job already invoiced","")))</f>
        <v/>
      </c>
      <c r="Q34" s="16" t="inlineStr">
        <is>
          <t>Split TBC</t>
        </is>
      </c>
      <c r="R34" s="16" t="n"/>
      <c r="S34" s="15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7" t="n"/>
      <c r="AD34" s="17" t="n"/>
      <c r="AE34" s="19">
        <f>IF($E34&lt;&gt;"Production","",IFERROR($AD34/$L34,""))</f>
        <v/>
      </c>
      <c r="AF34" s="17" t="n"/>
      <c r="AG34" s="17" t="n"/>
      <c r="AH34" s="16" t="n"/>
      <c r="AI34" s="17" t="n"/>
      <c r="AJ34" s="17" t="n"/>
      <c r="AK34" s="17" t="n"/>
      <c r="AL34" s="17" t="n"/>
      <c r="AM34" s="17" t="n"/>
      <c r="AN34" s="17" t="n"/>
    </row>
    <row r="35" ht="15" customHeight="1">
      <c r="A35" s="13">
        <f>IF(COUNTA($B35:$K35)=0,"",ROW()-1)</f>
        <v/>
      </c>
      <c r="B35" s="14" t="inlineStr">
        <is>
          <t>Invoice</t>
        </is>
      </c>
      <c r="C35" s="15" t="n"/>
      <c r="D35" s="16" t="inlineStr">
        <is>
          <t>Support</t>
        </is>
      </c>
      <c r="E35" s="13">
        <f>IF($B35="","",IF($B35="WIP","WIP",IFERROR(INDEX(Lists!$G$4:$G$10,MATCH($D35,Lists!$F$4:$F$10,0)),"Unmapped")))</f>
        <v/>
      </c>
      <c r="F35" s="16" t="n"/>
      <c r="G35" s="16" t="inlineStr">
        <is>
          <t>PWC</t>
        </is>
      </c>
      <c r="H35" s="14" t="inlineStr">
        <is>
          <t>25101301B</t>
        </is>
      </c>
      <c r="I35" s="16" t="inlineStr">
        <is>
          <t>PWC Sydney IT August 2026</t>
        </is>
      </c>
      <c r="J35" s="14" t="inlineStr">
        <is>
          <t>INV-10585</t>
        </is>
      </c>
      <c r="K35" s="17" t="n">
        <v>11907</v>
      </c>
      <c r="L35" s="18">
        <f>IF($K35="","",IF($E35="Production",$K35-N($AD35),$K35))</f>
        <v/>
      </c>
      <c r="M35" s="18">
        <f>IF($E35="Production",IF($K35="","",$K35-(N($AF35)+N($AG35))),IF($E35="Consulting",IF($K35="","",$K35-(N($AL35)+N($AM35)+N($AN35))),""))</f>
        <v/>
      </c>
      <c r="N35" s="19">
        <f>IFERROR($M35/$K35,"")</f>
        <v/>
      </c>
      <c r="O35" s="13">
        <f>IF(COUNTA($B35:$K35)=0,"",IF($C35="","No date",IF(AND($C35&gt;=Lists!$B$3,$C35&lt;Lists!$B$4),"In FY27","Outside FY27")))</f>
        <v/>
      </c>
      <c r="P35" s="13">
        <f>IF($E35&lt;&gt;"WIP","",IF($H35="","",IF(COUNTIFS($E$2:$E$20000,"&lt;&gt;WIP",$H$2:$H$20000,$H35)&gt;0,"Job already invoiced","")))</f>
        <v/>
      </c>
      <c r="Q35" s="16" t="n"/>
      <c r="R35" s="16" t="n"/>
      <c r="S35" s="15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7" t="n"/>
      <c r="AD35" s="17" t="n"/>
      <c r="AE35" s="19">
        <f>IF($E35&lt;&gt;"Production","",IFERROR($AD35/$L35,""))</f>
        <v/>
      </c>
      <c r="AF35" s="17" t="n"/>
      <c r="AG35" s="17" t="n"/>
      <c r="AH35" s="16" t="n"/>
      <c r="AI35" s="17" t="n"/>
      <c r="AJ35" s="17" t="n"/>
      <c r="AK35" s="17" t="n"/>
      <c r="AL35" s="17" t="n"/>
      <c r="AM35" s="17" t="n"/>
      <c r="AN35" s="17" t="n"/>
    </row>
    <row r="36" ht="15" customHeight="1">
      <c r="A36" s="13">
        <f>IF(COUNTA($B36:$K36)=0,"",ROW()-1)</f>
        <v/>
      </c>
      <c r="B36" s="14" t="inlineStr">
        <is>
          <t>Invoice</t>
        </is>
      </c>
      <c r="C36" s="15" t="n"/>
      <c r="D36" s="16" t="inlineStr">
        <is>
          <t>Support</t>
        </is>
      </c>
      <c r="E36" s="13">
        <f>IF($B36="","",IF($B36="WIP","WIP",IFERROR(INDEX(Lists!$G$4:$G$10,MATCH($D36,Lists!$F$4:$F$10,0)),"Unmapped")))</f>
        <v/>
      </c>
      <c r="F36" s="16" t="n"/>
      <c r="G36" s="16" t="inlineStr">
        <is>
          <t>TWG</t>
        </is>
      </c>
      <c r="H36" s="14" t="n">
        <v>26081301</v>
      </c>
      <c r="I36" s="16" t="inlineStr">
        <is>
          <t>EY Support Technician BNE</t>
        </is>
      </c>
      <c r="J36" s="14" t="n"/>
      <c r="K36" s="17" t="n">
        <v>3740</v>
      </c>
      <c r="L36" s="18">
        <f>IF($K36="","",IF($E36="Production",$K36-N($AD36),$K36))</f>
        <v/>
      </c>
      <c r="M36" s="18">
        <f>IF($E36="Production",IF($K36="","",$K36-(N($AF36)+N($AG36))),IF($E36="Consulting",IF($K36="","",$K36-(N($AL36)+N($AM36)+N($AN36))),""))</f>
        <v/>
      </c>
      <c r="N36" s="19">
        <f>IFERROR($M36/$K36,"")</f>
        <v/>
      </c>
      <c r="O36" s="13">
        <f>IF(COUNTA($B36:$K36)=0,"",IF($C36="","No date",IF(AND($C36&gt;=Lists!$B$3,$C36&lt;Lists!$B$4),"In FY27","Outside FY27")))</f>
        <v/>
      </c>
      <c r="P36" s="13">
        <f>IF($E36&lt;&gt;"WIP","",IF($H36="","",IF(COUNTIFS($E$2:$E$20000,"&lt;&gt;WIP",$H$2:$H$20000,$H36)&gt;0,"Job already invoiced","")))</f>
        <v/>
      </c>
      <c r="Q36" s="16" t="inlineStr">
        <is>
          <t>November</t>
        </is>
      </c>
      <c r="R36" s="16" t="n"/>
      <c r="S36" s="15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7" t="n"/>
      <c r="AD36" s="17" t="n"/>
      <c r="AE36" s="19">
        <f>IF($E36&lt;&gt;"Production","",IFERROR($AD36/$L36,""))</f>
        <v/>
      </c>
      <c r="AF36" s="17" t="n"/>
      <c r="AG36" s="17" t="n"/>
      <c r="AH36" s="16" t="n"/>
      <c r="AI36" s="17" t="n"/>
      <c r="AJ36" s="17" t="n"/>
      <c r="AK36" s="17" t="n"/>
      <c r="AL36" s="17" t="n"/>
      <c r="AM36" s="17" t="n"/>
      <c r="AN36" s="17" t="n"/>
    </row>
    <row r="37" ht="15" customHeight="1">
      <c r="A37" s="13">
        <f>IF(COUNTA($B37:$K37)=0,"",ROW()-1)</f>
        <v/>
      </c>
      <c r="B37" s="14" t="inlineStr">
        <is>
          <t>Invoice</t>
        </is>
      </c>
      <c r="C37" s="15" t="n">
        <v>46205</v>
      </c>
      <c r="D37" s="16" t="inlineStr">
        <is>
          <t>Production</t>
        </is>
      </c>
      <c r="E37" s="13">
        <f>IF($B37="","",IF($B37="WIP","WIP",IFERROR(INDEX(Lists!$G$4:$G$10,MATCH($D37,Lists!$F$4:$F$10,0)),"Unmapped")))</f>
        <v/>
      </c>
      <c r="F37" s="16" t="n"/>
      <c r="G37" s="16" t="inlineStr">
        <is>
          <t>Elkiem</t>
        </is>
      </c>
      <c r="H37" s="14" t="inlineStr">
        <is>
          <t>2602309</t>
        </is>
      </c>
      <c r="I37" s="16" t="inlineStr">
        <is>
          <t>Studio Support | 1.7.26</t>
        </is>
      </c>
      <c r="J37" s="14" t="inlineStr">
        <is>
          <t>INV-10513</t>
        </is>
      </c>
      <c r="K37" s="17" t="n">
        <v>380</v>
      </c>
      <c r="L37" s="18">
        <f>IF($K37="","",IF($E37="Production",$K37-N($AD37),$K37))</f>
        <v/>
      </c>
      <c r="M37" s="18">
        <f>IF($E37="Production",IF($K37="","",$K37-(N($AF37)+N($AG37))),IF($E37="Consulting",IF($K37="","",$K37-(N($AL37)+N($AM37)+N($AN37))),""))</f>
        <v/>
      </c>
      <c r="N37" s="19">
        <f>IFERROR($M37/$K37,"")</f>
        <v/>
      </c>
      <c r="O37" s="13">
        <f>IF(COUNTA($B37:$K37)=0,"",IF($C37="","No date",IF(AND($C37&gt;=Lists!$B$3,$C37&lt;Lists!$B$4),"In FY27","Outside FY27")))</f>
        <v/>
      </c>
      <c r="P37" s="13">
        <f>IF($E37&lt;&gt;"WIP","",IF($H37="","",IF(COUNTIFS($E$2:$E$20000,"&lt;&gt;WIP",$H$2:$H$20000,$H37)&gt;0,"Job already invoiced","")))</f>
        <v/>
      </c>
      <c r="Q37" s="16" t="n"/>
      <c r="R37" s="16" t="inlineStr">
        <is>
          <t>Ben.woodlock@elkiem.com</t>
        </is>
      </c>
      <c r="S37" s="15" t="inlineStr">
        <is>
          <t>7/1/2026</t>
        </is>
      </c>
      <c r="T37" s="14" t="inlineStr">
        <is>
          <t>2602309</t>
        </is>
      </c>
      <c r="U37" s="14" t="inlineStr">
        <is>
          <t>5879</t>
        </is>
      </c>
      <c r="V37" s="14" t="inlineStr">
        <is>
          <t>Y</t>
        </is>
      </c>
      <c r="W37" s="14" t="inlineStr">
        <is>
          <t>Y</t>
        </is>
      </c>
      <c r="X37" s="14" t="n"/>
      <c r="Y37" s="14" t="n"/>
      <c r="Z37" s="14" t="n"/>
      <c r="AA37" s="14" t="n"/>
      <c r="AB37" s="14" t="n">
        <v>4</v>
      </c>
      <c r="AC37" s="17" t="n"/>
      <c r="AD37" s="17" t="n"/>
      <c r="AE37" s="19">
        <f>IF($E37&lt;&gt;"Production","",IFERROR($AD37/$L37,""))</f>
        <v/>
      </c>
      <c r="AF37" s="17" t="n"/>
      <c r="AG37" s="17" t="n"/>
      <c r="AH37" s="16" t="n"/>
      <c r="AI37" s="17" t="n"/>
      <c r="AJ37" s="17" t="n"/>
      <c r="AK37" s="17" t="n"/>
      <c r="AL37" s="17" t="n"/>
      <c r="AM37" s="17" t="n"/>
      <c r="AN37" s="17" t="n"/>
    </row>
    <row r="38" ht="15" customHeight="1">
      <c r="A38" s="13">
        <f>IF(COUNTA($B38:$K38)=0,"",ROW()-1)</f>
        <v/>
      </c>
      <c r="B38" s="14" t="inlineStr">
        <is>
          <t>Invoice</t>
        </is>
      </c>
      <c r="C38" s="15" t="n">
        <v>46210</v>
      </c>
      <c r="D38" s="16" t="inlineStr">
        <is>
          <t>Production</t>
        </is>
      </c>
      <c r="E38" s="13">
        <f>IF($B38="","",IF($B38="WIP","WIP",IFERROR(INDEX(Lists!$G$4:$G$10,MATCH($D38,Lists!$F$4:$F$10,0)),"Unmapped")))</f>
        <v/>
      </c>
      <c r="F38" s="16" t="n"/>
      <c r="G38" s="16" t="inlineStr">
        <is>
          <t>RSNSW</t>
        </is>
      </c>
      <c r="H38" s="14" t="inlineStr">
        <is>
          <t>26032301</t>
        </is>
      </c>
      <c r="I38" s="16" t="inlineStr">
        <is>
          <t>Ordinary General Meeting | 1.7.26</t>
        </is>
      </c>
      <c r="J38" s="14" t="inlineStr">
        <is>
          <t>INV-10519</t>
        </is>
      </c>
      <c r="K38" s="17" t="n">
        <v>3071</v>
      </c>
      <c r="L38" s="18">
        <f>IF($K38="","",IF($E38="Production",$K38-N($AD38),$K38))</f>
        <v/>
      </c>
      <c r="M38" s="18">
        <f>IF($E38="Production",IF($K38="","",$K38-(N($AF38)+N($AG38))),IF($E38="Consulting",IF($K38="","",$K38-(N($AL38)+N($AM38)+N($AN38))),""))</f>
        <v/>
      </c>
      <c r="N38" s="19">
        <f>IFERROR($M38/$K38,"")</f>
        <v/>
      </c>
      <c r="O38" s="13">
        <f>IF(COUNTA($B38:$K38)=0,"",IF($C38="","No date",IF(AND($C38&gt;=Lists!$B$3,$C38&lt;Lists!$B$4),"In FY27","Outside FY27")))</f>
        <v/>
      </c>
      <c r="P38" s="13">
        <f>IF($E38&lt;&gt;"WIP","",IF($H38="","",IF(COUNTIFS($E$2:$E$20000,"&lt;&gt;WIP",$H$2:$H$20000,$H38)&gt;0,"Job already invoiced","")))</f>
        <v/>
      </c>
      <c r="Q38" s="16" t="n"/>
      <c r="R38" s="16" t="inlineStr">
        <is>
          <t>lindsay.botten@outlook.com</t>
        </is>
      </c>
      <c r="S38" s="15" t="inlineStr">
        <is>
          <t>7/1/2026</t>
        </is>
      </c>
      <c r="T38" s="14" t="inlineStr">
        <is>
          <t>26032301</t>
        </is>
      </c>
      <c r="U38" s="14" t="inlineStr">
        <is>
          <t>5924</t>
        </is>
      </c>
      <c r="V38" s="14" t="inlineStr">
        <is>
          <t>Y</t>
        </is>
      </c>
      <c r="W38" s="14" t="inlineStr">
        <is>
          <t>Y</t>
        </is>
      </c>
      <c r="X38" s="14" t="n">
        <v>4</v>
      </c>
      <c r="Y38" s="14" t="n"/>
      <c r="Z38" s="14" t="n"/>
      <c r="AA38" s="14" t="n"/>
      <c r="AB38" s="14" t="n">
        <v>10</v>
      </c>
      <c r="AC38" s="17" t="n">
        <v>1029</v>
      </c>
      <c r="AD38" s="17" t="n">
        <v>334</v>
      </c>
      <c r="AE38" s="19">
        <f>IF($E38&lt;&gt;"Production","",IFERROR($AD38/$L38,""))</f>
        <v/>
      </c>
      <c r="AF38" s="17" t="n"/>
      <c r="AG38" s="17" t="n"/>
      <c r="AH38" s="16" t="n"/>
      <c r="AI38" s="17" t="n"/>
      <c r="AJ38" s="17" t="n"/>
      <c r="AK38" s="17" t="n"/>
      <c r="AL38" s="17" t="n"/>
      <c r="AM38" s="17" t="n"/>
      <c r="AN38" s="17" t="n"/>
    </row>
    <row r="39" ht="15" customHeight="1">
      <c r="A39" s="13">
        <f>IF(COUNTA($B39:$K39)=0,"",ROW()-1)</f>
        <v/>
      </c>
      <c r="B39" s="14" t="inlineStr">
        <is>
          <t>Invoice</t>
        </is>
      </c>
      <c r="C39" s="15" t="n">
        <v>46210</v>
      </c>
      <c r="D39" s="16" t="inlineStr">
        <is>
          <t>Production</t>
        </is>
      </c>
      <c r="E39" s="13">
        <f>IF($B39="","",IF($B39="WIP","WIP",IFERROR(INDEX(Lists!$G$4:$G$10,MATCH($D39,Lists!$F$4:$F$10,0)),"Unmapped")))</f>
        <v/>
      </c>
      <c r="F39" s="16" t="n"/>
      <c r="G39" s="16" t="inlineStr">
        <is>
          <t>PWC</t>
        </is>
      </c>
      <c r="H39" s="14" t="inlineStr">
        <is>
          <t>26062201</t>
        </is>
      </c>
      <c r="I39" s="16" t="inlineStr">
        <is>
          <t>Tax and Legal Webcast 2.7.26</t>
        </is>
      </c>
      <c r="J39" s="14" t="inlineStr">
        <is>
          <t>INV-10515</t>
        </is>
      </c>
      <c r="K39" s="17" t="n">
        <v>1925</v>
      </c>
      <c r="L39" s="18">
        <f>IF($K39="","",IF($E39="Production",$K39-N($AD39),$K39))</f>
        <v/>
      </c>
      <c r="M39" s="18">
        <f>IF($E39="Production",IF($K39="","",$K39-(N($AF39)+N($AG39))),IF($E39="Consulting",IF($K39="","",$K39-(N($AL39)+N($AM39)+N($AN39))),""))</f>
        <v/>
      </c>
      <c r="N39" s="19">
        <f>IFERROR($M39/$K39,"")</f>
        <v/>
      </c>
      <c r="O39" s="13">
        <f>IF(COUNTA($B39:$K39)=0,"",IF($C39="","No date",IF(AND($C39&gt;=Lists!$B$3,$C39&lt;Lists!$B$4),"In FY27","Outside FY27")))</f>
        <v/>
      </c>
      <c r="P39" s="13">
        <f>IF($E39&lt;&gt;"WIP","",IF($H39="","",IF(COUNTIFS($E$2:$E$20000,"&lt;&gt;WIP",$H$2:$H$20000,$H39)&gt;0,"Job already invoiced","")))</f>
        <v/>
      </c>
      <c r="Q39" s="16" t="n"/>
      <c r="R39" s="16" t="inlineStr">
        <is>
          <t>libby.kovac@au.pwc.com</t>
        </is>
      </c>
      <c r="S39" s="15" t="inlineStr">
        <is>
          <t>7/2/2026</t>
        </is>
      </c>
      <c r="T39" s="14" t="inlineStr">
        <is>
          <t>26062201</t>
        </is>
      </c>
      <c r="U39" s="14" t="inlineStr">
        <is>
          <t>6076</t>
        </is>
      </c>
      <c r="V39" s="14" t="inlineStr">
        <is>
          <t>Y</t>
        </is>
      </c>
      <c r="W39" s="14" t="inlineStr">
        <is>
          <t>Y</t>
        </is>
      </c>
      <c r="X39" s="14" t="n">
        <v>8</v>
      </c>
      <c r="Y39" s="14" t="n"/>
      <c r="Z39" s="14" t="n">
        <v>1</v>
      </c>
      <c r="AA39" s="14" t="n"/>
      <c r="AB39" s="14" t="n">
        <v>8</v>
      </c>
      <c r="AC39" s="17" t="n">
        <v>970</v>
      </c>
      <c r="AD39" s="17" t="n"/>
      <c r="AE39" s="19">
        <f>IF($E39&lt;&gt;"Production","",IFERROR($AD39/$L39,""))</f>
        <v/>
      </c>
      <c r="AF39" s="17" t="n"/>
      <c r="AG39" s="17" t="n"/>
      <c r="AH39" s="16" t="n"/>
      <c r="AI39" s="17" t="n"/>
      <c r="AJ39" s="17" t="n"/>
      <c r="AK39" s="17" t="n"/>
      <c r="AL39" s="17" t="n"/>
      <c r="AM39" s="17" t="n"/>
      <c r="AN39" s="17" t="n"/>
    </row>
    <row r="40" ht="15" customHeight="1">
      <c r="A40" s="13">
        <f>IF(COUNTA($B40:$K40)=0,"",ROW()-1)</f>
        <v/>
      </c>
      <c r="B40" s="14" t="inlineStr">
        <is>
          <t>Invoice</t>
        </is>
      </c>
      <c r="C40" s="15" t="n">
        <v>46219</v>
      </c>
      <c r="D40" s="16" t="inlineStr">
        <is>
          <t>Production</t>
        </is>
      </c>
      <c r="E40" s="13">
        <f>IF($B40="","",IF($B40="WIP","WIP",IFERROR(INDEX(Lists!$G$4:$G$10,MATCH($D40,Lists!$F$4:$F$10,0)),"Unmapped")))</f>
        <v/>
      </c>
      <c r="F40" s="16" t="n"/>
      <c r="G40" s="16" t="inlineStr">
        <is>
          <t>Elkiem - PM** Cancelled</t>
        </is>
      </c>
      <c r="H40" s="14" t="inlineStr">
        <is>
          <t>2605802</t>
        </is>
      </c>
      <c r="I40" s="16" t="inlineStr">
        <is>
          <t>Elkiem Studio Support | 15.7.26</t>
        </is>
      </c>
      <c r="J40" s="14" t="inlineStr">
        <is>
          <t>INV-10524</t>
        </is>
      </c>
      <c r="K40" s="17" t="n">
        <v>261.25</v>
      </c>
      <c r="L40" s="18">
        <f>IF($K40="","",IF($E40="Production",$K40-N($AD40),$K40))</f>
        <v/>
      </c>
      <c r="M40" s="18">
        <f>IF($E40="Production",IF($K40="","",$K40-(N($AF40)+N($AG40))),IF($E40="Consulting",IF($K40="","",$K40-(N($AL40)+N($AM40)+N($AN40))),""))</f>
        <v/>
      </c>
      <c r="N40" s="19">
        <f>IFERROR($M40/$K40,"")</f>
        <v/>
      </c>
      <c r="O40" s="13">
        <f>IF(COUNTA($B40:$K40)=0,"",IF($C40="","No date",IF(AND($C40&gt;=Lists!$B$3,$C40&lt;Lists!$B$4),"In FY27","Outside FY27")))</f>
        <v/>
      </c>
      <c r="P40" s="13">
        <f>IF($E40&lt;&gt;"WIP","",IF($H40="","",IF(COUNTIFS($E$2:$E$20000,"&lt;&gt;WIP",$H$2:$H$20000,$H40)&gt;0,"Job already invoiced","")))</f>
        <v/>
      </c>
      <c r="Q40" s="16" t="n"/>
      <c r="R40" s="16" t="inlineStr">
        <is>
          <t>Ben.woodlock@elkiem.com</t>
        </is>
      </c>
      <c r="S40" s="15" t="inlineStr">
        <is>
          <t>7/15/2026</t>
        </is>
      </c>
      <c r="T40" s="14" t="inlineStr">
        <is>
          <t>2605802</t>
        </is>
      </c>
      <c r="U40" s="14" t="inlineStr">
        <is>
          <t>6013</t>
        </is>
      </c>
      <c r="V40" s="14" t="inlineStr">
        <is>
          <t>Y</t>
        </is>
      </c>
      <c r="W40" s="14" t="inlineStr">
        <is>
          <t>Y</t>
        </is>
      </c>
      <c r="X40" s="14" t="n"/>
      <c r="Y40" s="14" t="n"/>
      <c r="Z40" s="14" t="n">
        <v>2</v>
      </c>
      <c r="AA40" s="14" t="n"/>
      <c r="AB40" s="14" t="n">
        <v>4</v>
      </c>
      <c r="AC40" s="17" t="n"/>
      <c r="AD40" s="17" t="n"/>
      <c r="AE40" s="19">
        <f>IF($E40&lt;&gt;"Production","",IFERROR($AD40/$L40,""))</f>
        <v/>
      </c>
      <c r="AF40" s="17" t="n"/>
      <c r="AG40" s="17" t="n"/>
      <c r="AH40" s="16" t="n"/>
      <c r="AI40" s="17" t="n"/>
      <c r="AJ40" s="17" t="n"/>
      <c r="AK40" s="17" t="n"/>
      <c r="AL40" s="17" t="n"/>
      <c r="AM40" s="17" t="n"/>
      <c r="AN40" s="17" t="n"/>
    </row>
    <row r="41" ht="15" customHeight="1">
      <c r="A41" s="13">
        <f>IF(COUNTA($B41:$K41)=0,"",ROW()-1)</f>
        <v/>
      </c>
      <c r="B41" s="14" t="inlineStr">
        <is>
          <t>Invoice</t>
        </is>
      </c>
      <c r="C41" s="15" t="n">
        <v>46210</v>
      </c>
      <c r="D41" s="16" t="inlineStr">
        <is>
          <t>Production</t>
        </is>
      </c>
      <c r="E41" s="13">
        <f>IF($B41="","",IF($B41="WIP","WIP",IFERROR(INDEX(Lists!$G$4:$G$10,MATCH($D41,Lists!$F$4:$F$10,0)),"Unmapped")))</f>
        <v/>
      </c>
      <c r="F41" s="16" t="n"/>
      <c r="G41" s="16" t="inlineStr">
        <is>
          <t>Litecard</t>
        </is>
      </c>
      <c r="H41" s="14" t="inlineStr">
        <is>
          <t>2607701</t>
        </is>
      </c>
      <c r="I41" s="16" t="inlineStr">
        <is>
          <t>Screen &amp; Mic Hire 16.7.26</t>
        </is>
      </c>
      <c r="J41" s="14" t="inlineStr">
        <is>
          <t>INV-10518</t>
        </is>
      </c>
      <c r="K41" s="17" t="n">
        <v>500</v>
      </c>
      <c r="L41" s="18">
        <f>IF($K41="","",IF($E41="Production",$K41-N($AD41),$K41))</f>
        <v/>
      </c>
      <c r="M41" s="18">
        <f>IF($E41="Production",IF($K41="","",$K41-(N($AF41)+N($AG41))),IF($E41="Consulting",IF($K41="","",$K41-(N($AL41)+N($AM41)+N($AN41))),""))</f>
        <v/>
      </c>
      <c r="N41" s="19">
        <f>IFERROR($M41/$K41,"")</f>
        <v/>
      </c>
      <c r="O41" s="13">
        <f>IF(COUNTA($B41:$K41)=0,"",IF($C41="","No date",IF(AND($C41&gt;=Lists!$B$3,$C41&lt;Lists!$B$4),"In FY27","Outside FY27")))</f>
        <v/>
      </c>
      <c r="P41" s="13">
        <f>IF($E41&lt;&gt;"WIP","",IF($H41="","",IF(COUNTIFS($E$2:$E$20000,"&lt;&gt;WIP",$H$2:$H$20000,$H41)&gt;0,"Job already invoiced","")))</f>
        <v/>
      </c>
      <c r="Q41" s="16" t="n"/>
      <c r="R41" s="16" t="inlineStr">
        <is>
          <t>brian@litecard.com.au</t>
        </is>
      </c>
      <c r="S41" s="15" t="inlineStr">
        <is>
          <t>7/16/2026</t>
        </is>
      </c>
      <c r="T41" s="14" t="inlineStr">
        <is>
          <t>2607701</t>
        </is>
      </c>
      <c r="U41" s="14" t="inlineStr">
        <is>
          <t>6089</t>
        </is>
      </c>
      <c r="V41" s="14" t="inlineStr">
        <is>
          <t>Y</t>
        </is>
      </c>
      <c r="W41" s="14" t="inlineStr">
        <is>
          <t>Y</t>
        </is>
      </c>
      <c r="X41" s="14" t="n"/>
      <c r="Y41" s="14" t="n"/>
      <c r="Z41" s="14" t="n"/>
      <c r="AA41" s="14" t="n"/>
      <c r="AB41" s="14" t="n">
        <v>2</v>
      </c>
      <c r="AC41" s="17" t="n"/>
      <c r="AD41" s="17" t="n">
        <v>465</v>
      </c>
      <c r="AE41" s="19">
        <f>IF($E41&lt;&gt;"Production","",IFERROR($AD41/$L41,""))</f>
        <v/>
      </c>
      <c r="AF41" s="17" t="n"/>
      <c r="AG41" s="17" t="n"/>
      <c r="AH41" s="16" t="n"/>
      <c r="AI41" s="17" t="n"/>
      <c r="AJ41" s="17" t="n"/>
      <c r="AK41" s="17" t="n"/>
      <c r="AL41" s="17" t="n"/>
      <c r="AM41" s="17" t="n"/>
      <c r="AN41" s="17" t="n"/>
    </row>
    <row r="42" ht="15" customHeight="1">
      <c r="A42" s="13">
        <f>IF(COUNTA($B42:$K42)=0,"",ROW()-1)</f>
        <v/>
      </c>
      <c r="B42" s="14" t="inlineStr">
        <is>
          <t>Invoice</t>
        </is>
      </c>
      <c r="C42" s="15" t="n">
        <v>46216</v>
      </c>
      <c r="D42" s="16" t="inlineStr">
        <is>
          <t>Video</t>
        </is>
      </c>
      <c r="E42" s="13">
        <f>IF($B42="","",IF($B42="WIP","WIP",IFERROR(INDEX(Lists!$G$4:$G$10,MATCH($D42,Lists!$F$4:$F$10,0)),"Unmapped")))</f>
        <v/>
      </c>
      <c r="F42" s="16" t="n"/>
      <c r="G42" s="16" t="inlineStr">
        <is>
          <t>Litecard</t>
        </is>
      </c>
      <c r="H42" s="14" t="n">
        <v>2607701</v>
      </c>
      <c r="I42" s="16" t="inlineStr">
        <is>
          <t>Litecard - Event Photographer - 16.7.26</t>
        </is>
      </c>
      <c r="J42" s="14" t="inlineStr">
        <is>
          <t>INV-10522</t>
        </is>
      </c>
      <c r="K42" s="17" t="n">
        <v>550</v>
      </c>
      <c r="L42" s="18">
        <f>IF($K42="","",IF($E42="Production",$K42-N($AD42),$K42))</f>
        <v/>
      </c>
      <c r="M42" s="18">
        <f>IF($E42="Production",IF($K42="","",$K42-(N($AF42)+N($AG42))),IF($E42="Consulting",IF($K42="","",$K42-(N($AL42)+N($AM42)+N($AN42))),""))</f>
        <v/>
      </c>
      <c r="N42" s="19">
        <f>IFERROR($M42/$K42,"")</f>
        <v/>
      </c>
      <c r="O42" s="13">
        <f>IF(COUNTA($B42:$K42)=0,"",IF($C42="","No date",IF(AND($C42&gt;=Lists!$B$3,$C42&lt;Lists!$B$4),"In FY27","Outside FY27")))</f>
        <v/>
      </c>
      <c r="P42" s="13">
        <f>IF($E42&lt;&gt;"WIP","",IF($H42="","",IF(COUNTIFS($E$2:$E$20000,"&lt;&gt;WIP",$H$2:$H$20000,$H42)&gt;0,"Job already invoiced","")))</f>
        <v/>
      </c>
      <c r="Q42" s="16" t="n"/>
      <c r="R42" s="16" t="inlineStr">
        <is>
          <t>brian@litecard.com.au</t>
        </is>
      </c>
      <c r="S42" s="15" t="n">
        <v>46219</v>
      </c>
      <c r="T42" s="14" t="n">
        <v>2607701</v>
      </c>
      <c r="U42" s="14" t="n">
        <v>6102</v>
      </c>
      <c r="V42" s="14" t="inlineStr">
        <is>
          <t>Y</t>
        </is>
      </c>
      <c r="W42" s="14" t="inlineStr">
        <is>
          <t>Y</t>
        </is>
      </c>
      <c r="X42" s="14" t="n">
        <v>4</v>
      </c>
      <c r="Y42" s="14" t="n"/>
      <c r="Z42" s="14" t="n"/>
      <c r="AA42" s="14" t="n"/>
      <c r="AB42" s="14" t="n"/>
      <c r="AC42" s="17" t="n">
        <v>550</v>
      </c>
      <c r="AD42" s="17" t="n"/>
      <c r="AE42" s="19">
        <f>IF($E42&lt;&gt;"Production","",IFERROR($AD42/$L42,""))</f>
        <v/>
      </c>
      <c r="AF42" s="17" t="n"/>
      <c r="AG42" s="17" t="n"/>
      <c r="AH42" s="16" t="n"/>
      <c r="AI42" s="17" t="n"/>
      <c r="AJ42" s="17" t="n"/>
      <c r="AK42" s="17" t="n"/>
      <c r="AL42" s="17" t="n"/>
      <c r="AM42" s="17" t="n"/>
      <c r="AN42" s="17" t="n"/>
    </row>
    <row r="43" ht="15" customHeight="1">
      <c r="A43" s="13">
        <f>IF(COUNTA($B43:$K43)=0,"",ROW()-1)</f>
        <v/>
      </c>
      <c r="B43" s="14" t="inlineStr">
        <is>
          <t>Invoice</t>
        </is>
      </c>
      <c r="C43" s="15" t="n">
        <v>46234</v>
      </c>
      <c r="D43" s="16" t="inlineStr">
        <is>
          <t>Production</t>
        </is>
      </c>
      <c r="E43" s="13">
        <f>IF($B43="","",IF($B43="WIP","WIP",IFERROR(INDEX(Lists!$G$4:$G$10,MATCH($D43,Lists!$F$4:$F$10,0)),"Unmapped")))</f>
        <v/>
      </c>
      <c r="F43" s="16" t="n"/>
      <c r="G43" s="16" t="inlineStr">
        <is>
          <t>Microsoft</t>
        </is>
      </c>
      <c r="H43" s="14" t="n">
        <v>26052703</v>
      </c>
      <c r="I43" s="16" t="inlineStr">
        <is>
          <t>Microsoft Town Hall 21.7.26</t>
        </is>
      </c>
      <c r="J43" s="14" t="inlineStr">
        <is>
          <t>INV-10554</t>
        </is>
      </c>
      <c r="K43" s="17" t="n">
        <v>12587</v>
      </c>
      <c r="L43" s="18">
        <f>IF($K43="","",IF($E43="Production",$K43-N($AD43),$K43))</f>
        <v/>
      </c>
      <c r="M43" s="18">
        <f>IF($E43="Production",IF($K43="","",$K43-(N($AF43)+N($AG43))),IF($E43="Consulting",IF($K43="","",$K43-(N($AL43)+N($AM43)+N($AN43))),""))</f>
        <v/>
      </c>
      <c r="N43" s="19">
        <f>IFERROR($M43/$K43,"")</f>
        <v/>
      </c>
      <c r="O43" s="13">
        <f>IF(COUNTA($B43:$K43)=0,"",IF($C43="","No date",IF(AND($C43&gt;=Lists!$B$3,$C43&lt;Lists!$B$4),"In FY27","Outside FY27")))</f>
        <v/>
      </c>
      <c r="P43" s="13">
        <f>IF($E43&lt;&gt;"WIP","",IF($H43="","",IF(COUNTIFS($E$2:$E$20000,"&lt;&gt;WIP",$H$2:$H$20000,$H43)&gt;0,"Job already invoiced","")))</f>
        <v/>
      </c>
      <c r="Q43" s="16" t="n"/>
      <c r="R43" s="16" t="inlineStr">
        <is>
          <t>helenkingham@microsoft.com</t>
        </is>
      </c>
      <c r="S43" s="15" t="n">
        <v>46224</v>
      </c>
      <c r="T43" s="14" t="n">
        <v>26052703</v>
      </c>
      <c r="U43" s="14" t="n">
        <v>6034</v>
      </c>
      <c r="V43" s="14" t="inlineStr">
        <is>
          <t>Y</t>
        </is>
      </c>
      <c r="W43" s="14" t="inlineStr">
        <is>
          <t>Y</t>
        </is>
      </c>
      <c r="X43" s="14" t="n">
        <v>4</v>
      </c>
      <c r="Y43" s="14" t="n"/>
      <c r="Z43" s="14" t="n"/>
      <c r="AA43" s="14" t="n"/>
      <c r="AB43" s="14" t="n">
        <v>44</v>
      </c>
      <c r="AC43" s="17" t="n">
        <v>1702</v>
      </c>
      <c r="AD43" s="17" t="n">
        <v>580</v>
      </c>
      <c r="AE43" s="19">
        <f>IF($E43&lt;&gt;"Production","",IFERROR($AD43/$L43,""))</f>
        <v/>
      </c>
      <c r="AF43" s="17" t="n">
        <v>631.5</v>
      </c>
      <c r="AG43" s="17" t="n"/>
      <c r="AH43" s="16" t="n"/>
      <c r="AI43" s="17" t="n"/>
      <c r="AJ43" s="17" t="n"/>
      <c r="AK43" s="17" t="n"/>
      <c r="AL43" s="17" t="n"/>
      <c r="AM43" s="17" t="n"/>
      <c r="AN43" s="17" t="n"/>
    </row>
    <row r="44" ht="15" customHeight="1">
      <c r="A44" s="13">
        <f>IF(COUNTA($B44:$K44)=0,"",ROW()-1)</f>
        <v/>
      </c>
      <c r="B44" s="14" t="inlineStr">
        <is>
          <t>Invoice</t>
        </is>
      </c>
      <c r="C44" s="15" t="n">
        <v>46232</v>
      </c>
      <c r="D44" s="16" t="inlineStr">
        <is>
          <t>Production</t>
        </is>
      </c>
      <c r="E44" s="13">
        <f>IF($B44="","",IF($B44="WIP","WIP",IFERROR(INDEX(Lists!$G$4:$G$10,MATCH($D44,Lists!$F$4:$F$10,0)),"Unmapped")))</f>
        <v/>
      </c>
      <c r="F44" s="16" t="n"/>
      <c r="G44" s="16" t="inlineStr">
        <is>
          <t>Optiver</t>
        </is>
      </c>
      <c r="H44" s="14" t="n">
        <v>26041603</v>
      </c>
      <c r="I44" s="16" t="inlineStr">
        <is>
          <t>Mid-Year Town Hall 23.7.26</t>
        </is>
      </c>
      <c r="J44" s="14" t="inlineStr">
        <is>
          <t>INV-10538</t>
        </is>
      </c>
      <c r="K44" s="17" t="n">
        <v>745</v>
      </c>
      <c r="L44" s="18">
        <f>IF($K44="","",IF($E44="Production",$K44-N($AD44),$K44))</f>
        <v/>
      </c>
      <c r="M44" s="18">
        <f>IF($E44="Production",IF($K44="","",$K44-(N($AF44)+N($AG44))),IF($E44="Consulting",IF($K44="","",$K44-(N($AL44)+N($AM44)+N($AN44))),""))</f>
        <v/>
      </c>
      <c r="N44" s="19">
        <f>IFERROR($M44/$K44,"")</f>
        <v/>
      </c>
      <c r="O44" s="13">
        <f>IF(COUNTA($B44:$K44)=0,"",IF($C44="","No date",IF(AND($C44&gt;=Lists!$B$3,$C44&lt;Lists!$B$4),"In FY27","Outside FY27")))</f>
        <v/>
      </c>
      <c r="P44" s="13">
        <f>IF($E44&lt;&gt;"WIP","",IF($H44="","",IF(COUNTIFS($E$2:$E$20000,"&lt;&gt;WIP",$H$2:$H$20000,$H44)&gt;0,"Job already invoiced","")))</f>
        <v/>
      </c>
      <c r="Q44" s="16" t="n"/>
      <c r="R44" s="16" t="inlineStr">
        <is>
          <t>jo.rosewarne@optiver.com.au</t>
        </is>
      </c>
      <c r="S44" s="15" t="n">
        <v>46226</v>
      </c>
      <c r="T44" s="14" t="n">
        <v>26041603</v>
      </c>
      <c r="U44" s="14" t="n">
        <v>6085</v>
      </c>
      <c r="V44" s="14" t="inlineStr">
        <is>
          <t>Y</t>
        </is>
      </c>
      <c r="W44" s="14" t="inlineStr">
        <is>
          <t>Y</t>
        </is>
      </c>
      <c r="X44" s="14" t="n"/>
      <c r="Y44" s="14" t="n"/>
      <c r="Z44" s="14" t="n"/>
      <c r="AA44" s="14" t="n"/>
      <c r="AB44" s="14" t="n">
        <v>4</v>
      </c>
      <c r="AC44" s="17" t="n"/>
      <c r="AD44" s="17" t="n"/>
      <c r="AE44" s="19">
        <f>IF($E44&lt;&gt;"Production","",IFERROR($AD44/$L44,""))</f>
        <v/>
      </c>
      <c r="AF44" s="17" t="n"/>
      <c r="AG44" s="17" t="n"/>
      <c r="AH44" s="16" t="n"/>
      <c r="AI44" s="17" t="n"/>
      <c r="AJ44" s="17" t="n"/>
      <c r="AK44" s="17" t="n"/>
      <c r="AL44" s="17" t="n"/>
      <c r="AM44" s="17" t="n"/>
      <c r="AN44" s="17" t="n"/>
    </row>
    <row r="45" ht="15" customHeight="1">
      <c r="A45" s="13">
        <f>IF(COUNTA($B45:$K45)=0,"",ROW()-1)</f>
        <v/>
      </c>
      <c r="B45" s="14" t="inlineStr">
        <is>
          <t>Invoice</t>
        </is>
      </c>
      <c r="C45" s="15" t="n">
        <v>46234</v>
      </c>
      <c r="D45" s="16" t="inlineStr">
        <is>
          <t>Production</t>
        </is>
      </c>
      <c r="E45" s="13">
        <f>IF($B45="","",IF($B45="WIP","WIP",IFERROR(INDEX(Lists!$G$4:$G$10,MATCH($D45,Lists!$F$4:$F$10,0)),"Unmapped")))</f>
        <v/>
      </c>
      <c r="F45" s="16" t="n"/>
      <c r="G45" s="16" t="inlineStr">
        <is>
          <t>Arup</t>
        </is>
      </c>
      <c r="H45" s="14" t="n">
        <v>2605403</v>
      </c>
      <c r="I45" s="16" t="inlineStr">
        <is>
          <t>Oves Awards Night 23.7.26</t>
        </is>
      </c>
      <c r="J45" s="14" t="inlineStr">
        <is>
          <t>INV-10540</t>
        </is>
      </c>
      <c r="K45" s="17" t="n">
        <v>5636</v>
      </c>
      <c r="L45" s="18">
        <f>IF($K45="","",IF($E45="Production",$K45-N($AD45),$K45))</f>
        <v/>
      </c>
      <c r="M45" s="18">
        <f>IF($E45="Production",IF($K45="","",$K45-(N($AF45)+N($AG45))),IF($E45="Consulting",IF($K45="","",$K45-(N($AL45)+N($AM45)+N($AN45))),""))</f>
        <v/>
      </c>
      <c r="N45" s="19">
        <f>IFERROR($M45/$K45,"")</f>
        <v/>
      </c>
      <c r="O45" s="13">
        <f>IF(COUNTA($B45:$K45)=0,"",IF($C45="","No date",IF(AND($C45&gt;=Lists!$B$3,$C45&lt;Lists!$B$4),"In FY27","Outside FY27")))</f>
        <v/>
      </c>
      <c r="P45" s="13">
        <f>IF($E45&lt;&gt;"WIP","",IF($H45="","",IF(COUNTIFS($E$2:$E$20000,"&lt;&gt;WIP",$H$2:$H$20000,$H45)&gt;0,"Job already invoiced","")))</f>
        <v/>
      </c>
      <c r="Q45" s="16" t="n"/>
      <c r="R45" s="16" t="inlineStr">
        <is>
          <t>Timothy.Hicks@arup.com</t>
        </is>
      </c>
      <c r="S45" s="15" t="n">
        <v>46226</v>
      </c>
      <c r="T45" s="14" t="n">
        <v>2605403</v>
      </c>
      <c r="U45" s="14" t="n">
        <v>5956</v>
      </c>
      <c r="V45" s="14" t="inlineStr">
        <is>
          <t>Y</t>
        </is>
      </c>
      <c r="W45" s="14" t="inlineStr">
        <is>
          <t>Y</t>
        </is>
      </c>
      <c r="X45" s="14" t="n"/>
      <c r="Y45" s="14" t="n"/>
      <c r="Z45" s="14" t="n"/>
      <c r="AA45" s="14" t="n"/>
      <c r="AB45" s="14" t="n">
        <v>16</v>
      </c>
      <c r="AC45" s="17" t="n">
        <v>176</v>
      </c>
      <c r="AD45" s="17" t="n">
        <v>839</v>
      </c>
      <c r="AE45" s="19">
        <f>IF($E45&lt;&gt;"Production","",IFERROR($AD45/$L45,""))</f>
        <v/>
      </c>
      <c r="AF45" s="17" t="n"/>
      <c r="AG45" s="17" t="n"/>
      <c r="AH45" s="16" t="n"/>
      <c r="AI45" s="17" t="n"/>
      <c r="AJ45" s="17" t="n"/>
      <c r="AK45" s="17" t="n"/>
      <c r="AL45" s="17" t="n"/>
      <c r="AM45" s="17" t="n"/>
      <c r="AN45" s="17" t="n"/>
    </row>
    <row r="46" ht="15" customHeight="1">
      <c r="A46" s="13">
        <f>IF(COUNTA($B46:$K46)=0,"",ROW()-1)</f>
        <v/>
      </c>
      <c r="B46" s="14" t="inlineStr">
        <is>
          <t>Invoice</t>
        </is>
      </c>
      <c r="C46" s="15" t="n">
        <v>46234</v>
      </c>
      <c r="D46" s="16" t="inlineStr">
        <is>
          <t>Production</t>
        </is>
      </c>
      <c r="E46" s="13">
        <f>IF($B46="","",IF($B46="WIP","WIP",IFERROR(INDEX(Lists!$G$4:$G$10,MATCH($D46,Lists!$F$4:$F$10,0)),"Unmapped")))</f>
        <v/>
      </c>
      <c r="F46" s="16" t="n"/>
      <c r="G46" s="16" t="inlineStr">
        <is>
          <t>On24</t>
        </is>
      </c>
      <c r="H46" s="14" t="n">
        <v>2607901</v>
      </c>
      <c r="I46" s="16" t="inlineStr">
        <is>
          <t>KWM Event 23.7.26 (PO #25962)</t>
        </is>
      </c>
      <c r="J46" s="14" t="inlineStr">
        <is>
          <t>INV-10552</t>
        </is>
      </c>
      <c r="K46" s="17" t="n">
        <v>2575</v>
      </c>
      <c r="L46" s="18">
        <f>IF($K46="","",IF($E46="Production",$K46-N($AD46),$K46))</f>
        <v/>
      </c>
      <c r="M46" s="18">
        <f>IF($E46="Production",IF($K46="","",$K46-(N($AF46)+N($AG46))),IF($E46="Consulting",IF($K46="","",$K46-(N($AL46)+N($AM46)+N($AN46))),""))</f>
        <v/>
      </c>
      <c r="N46" s="19">
        <f>IFERROR($M46/$K46,"")</f>
        <v/>
      </c>
      <c r="O46" s="13">
        <f>IF(COUNTA($B46:$K46)=0,"",IF($C46="","No date",IF(AND($C46&gt;=Lists!$B$3,$C46&lt;Lists!$B$4),"In FY27","Outside FY27")))</f>
        <v/>
      </c>
      <c r="P46" s="13">
        <f>IF($E46&lt;&gt;"WIP","",IF($H46="","",IF(COUNTIFS($E$2:$E$20000,"&lt;&gt;WIP",$H$2:$H$20000,$H46)&gt;0,"Job already invoiced","")))</f>
        <v/>
      </c>
      <c r="Q46" s="16" t="n"/>
      <c r="R46" s="16" t="inlineStr">
        <is>
          <t>lisa.caraccio@on24.com</t>
        </is>
      </c>
      <c r="S46" s="15" t="n">
        <v>46226</v>
      </c>
      <c r="T46" s="14" t="n">
        <v>2607901</v>
      </c>
      <c r="U46" s="14" t="n">
        <v>6097</v>
      </c>
      <c r="V46" s="14" t="inlineStr">
        <is>
          <t>Y</t>
        </is>
      </c>
      <c r="W46" s="14" t="inlineStr">
        <is>
          <t>Y</t>
        </is>
      </c>
      <c r="X46" s="14" t="n"/>
      <c r="Y46" s="14" t="n"/>
      <c r="Z46" s="14" t="n"/>
      <c r="AA46" s="14" t="n"/>
      <c r="AB46" s="14" t="n">
        <v>6</v>
      </c>
      <c r="AC46" s="17" t="n"/>
      <c r="AD46" s="17" t="n">
        <v>95</v>
      </c>
      <c r="AE46" s="19">
        <f>IF($E46&lt;&gt;"Production","",IFERROR($AD46/$L46,""))</f>
        <v/>
      </c>
      <c r="AF46" s="17" t="n"/>
      <c r="AG46" s="17" t="n"/>
      <c r="AH46" s="16" t="n"/>
      <c r="AI46" s="17" t="n"/>
      <c r="AJ46" s="17" t="n"/>
      <c r="AK46" s="17" t="n"/>
      <c r="AL46" s="17" t="n"/>
      <c r="AM46" s="17" t="n"/>
      <c r="AN46" s="17" t="n"/>
    </row>
    <row r="47" ht="15" customHeight="1">
      <c r="A47" s="13">
        <f>IF(COUNTA($B47:$K47)=0,"",ROW()-1)</f>
        <v/>
      </c>
      <c r="B47" s="14" t="inlineStr">
        <is>
          <t>Invoice</t>
        </is>
      </c>
      <c r="C47" s="15" t="n">
        <v>46223</v>
      </c>
      <c r="D47" s="16" t="inlineStr">
        <is>
          <t>Production</t>
        </is>
      </c>
      <c r="E47" s="13">
        <f>IF($B47="","",IF($B47="WIP","WIP",IFERROR(INDEX(Lists!$G$4:$G$10,MATCH($D47,Lists!$F$4:$F$10,0)),"Unmapped")))</f>
        <v/>
      </c>
      <c r="F47" s="16" t="n"/>
      <c r="G47" s="16" t="inlineStr">
        <is>
          <t>Skykick Ranger</t>
        </is>
      </c>
      <c r="H47" s="14" t="n">
        <v>26063001</v>
      </c>
      <c r="I47" s="16" t="inlineStr">
        <is>
          <t>Sydney Performance Dry Hire 26.7.26</t>
        </is>
      </c>
      <c r="J47" s="14" t="inlineStr">
        <is>
          <t>INV-10533</t>
        </is>
      </c>
      <c r="K47" s="17" t="n">
        <v>975</v>
      </c>
      <c r="L47" s="18">
        <f>IF($K47="","",IF($E47="Production",$K47-N($AD47),$K47))</f>
        <v/>
      </c>
      <c r="M47" s="18">
        <f>IF($E47="Production",IF($K47="","",$K47-(N($AF47)+N($AG47))),IF($E47="Consulting",IF($K47="","",$K47-(N($AL47)+N($AM47)+N($AN47))),""))</f>
        <v/>
      </c>
      <c r="N47" s="19">
        <f>IFERROR($M47/$K47,"")</f>
        <v/>
      </c>
      <c r="O47" s="13">
        <f>IF(COUNTA($B47:$K47)=0,"",IF($C47="","No date",IF(AND($C47&gt;=Lists!$B$3,$C47&lt;Lists!$B$4),"In FY27","Outside FY27")))</f>
        <v/>
      </c>
      <c r="P47" s="13">
        <f>IF($E47&lt;&gt;"WIP","",IF($H47="","",IF(COUNTIFS($E$2:$E$20000,"&lt;&gt;WIP",$H$2:$H$20000,$H47)&gt;0,"Job already invoiced","")))</f>
        <v/>
      </c>
      <c r="Q47" s="16" t="n"/>
      <c r="R47" s="16" t="inlineStr">
        <is>
          <t>park_za_888@hotmail.com</t>
        </is>
      </c>
      <c r="S47" s="15" t="n">
        <v>46229</v>
      </c>
      <c r="T47" s="14" t="n">
        <v>26063001</v>
      </c>
      <c r="U47" s="14" t="n">
        <v>6114</v>
      </c>
      <c r="V47" s="14" t="inlineStr">
        <is>
          <t>Y</t>
        </is>
      </c>
      <c r="W47" s="14" t="inlineStr">
        <is>
          <t>Y</t>
        </is>
      </c>
      <c r="X47" s="14" t="n"/>
      <c r="Y47" s="14" t="n"/>
      <c r="Z47" s="14" t="n"/>
      <c r="AA47" s="14" t="n"/>
      <c r="AB47" s="14" t="n">
        <v>0</v>
      </c>
      <c r="AC47" s="17" t="n"/>
      <c r="AD47" s="17" t="n"/>
      <c r="AE47" s="19">
        <f>IF($E47&lt;&gt;"Production","",IFERROR($AD47/$L47,""))</f>
        <v/>
      </c>
      <c r="AF47" s="17" t="n">
        <v>850</v>
      </c>
      <c r="AG47" s="17" t="n"/>
      <c r="AH47" s="16" t="n"/>
      <c r="AI47" s="17" t="n"/>
      <c r="AJ47" s="17" t="n"/>
      <c r="AK47" s="17" t="n"/>
      <c r="AL47" s="17" t="n"/>
      <c r="AM47" s="17" t="n"/>
      <c r="AN47" s="17" t="n"/>
    </row>
    <row r="48" ht="15" customHeight="1">
      <c r="A48" s="13">
        <f>IF(COUNTA($B48:$K48)=0,"",ROW()-1)</f>
        <v/>
      </c>
      <c r="B48" s="14" t="inlineStr">
        <is>
          <t>Invoice</t>
        </is>
      </c>
      <c r="C48" s="15" t="n">
        <v>46234</v>
      </c>
      <c r="D48" s="16" t="inlineStr">
        <is>
          <t>Production</t>
        </is>
      </c>
      <c r="E48" s="13">
        <f>IF($B48="","",IF($B48="WIP","WIP",IFERROR(INDEX(Lists!$G$4:$G$10,MATCH($D48,Lists!$F$4:$F$10,0)),"Unmapped")))</f>
        <v/>
      </c>
      <c r="F48" s="16" t="n"/>
      <c r="G48" s="16" t="inlineStr">
        <is>
          <t>Ventia</t>
        </is>
      </c>
      <c r="H48" s="14" t="n">
        <v>2604202</v>
      </c>
      <c r="I48" s="16" t="inlineStr">
        <is>
          <t>Ventia Awards 28 &amp; 30.7.26 (PO 4701355678)</t>
        </is>
      </c>
      <c r="J48" s="14" t="inlineStr">
        <is>
          <t>INV-10557</t>
        </is>
      </c>
      <c r="K48" s="17" t="n">
        <v>52749.78</v>
      </c>
      <c r="L48" s="18">
        <f>IF($K48="","",IF($E48="Production",$K48-N($AD48),$K48))</f>
        <v/>
      </c>
      <c r="M48" s="18">
        <f>IF($E48="Production",IF($K48="","",$K48-(N($AF48)+N($AG48))),IF($E48="Consulting",IF($K48="","",$K48-(N($AL48)+N($AM48)+N($AN48))),""))</f>
        <v/>
      </c>
      <c r="N48" s="19">
        <f>IFERROR($M48/$K48,"")</f>
        <v/>
      </c>
      <c r="O48" s="13">
        <f>IF(COUNTA($B48:$K48)=0,"",IF($C48="","No date",IF(AND($C48&gt;=Lists!$B$3,$C48&lt;Lists!$B$4),"In FY27","Outside FY27")))</f>
        <v/>
      </c>
      <c r="P48" s="13">
        <f>IF($E48&lt;&gt;"WIP","",IF($H48="","",IF(COUNTIFS($E$2:$E$20000,"&lt;&gt;WIP",$H$2:$H$20000,$H48)&gt;0,"Job already invoiced","")))</f>
        <v/>
      </c>
      <c r="Q48" s="16" t="n"/>
      <c r="R48" s="16" t="inlineStr">
        <is>
          <t>amy.johnson@ventia.com</t>
        </is>
      </c>
      <c r="S48" s="15" t="n">
        <v>46231</v>
      </c>
      <c r="T48" s="14" t="n">
        <v>2604202</v>
      </c>
      <c r="U48" s="14" t="n">
        <v>6099</v>
      </c>
      <c r="V48" s="14" t="inlineStr">
        <is>
          <t>Y</t>
        </is>
      </c>
      <c r="W48" s="14" t="inlineStr">
        <is>
          <t>Y</t>
        </is>
      </c>
      <c r="X48" s="14" t="n"/>
      <c r="Y48" s="14" t="n"/>
      <c r="Z48" s="14" t="n">
        <v>8</v>
      </c>
      <c r="AA48" s="14" t="n"/>
      <c r="AB48" s="14" t="n">
        <v>142</v>
      </c>
      <c r="AC48" s="17" t="n">
        <v>970</v>
      </c>
      <c r="AD48" s="17" t="n"/>
      <c r="AE48" s="19">
        <f>IF($E48&lt;&gt;"Production","",IFERROR($AD48/$L48,""))</f>
        <v/>
      </c>
      <c r="AF48" s="17" t="n"/>
      <c r="AG48" s="17" t="n"/>
      <c r="AH48" s="16" t="n"/>
      <c r="AI48" s="17" t="n"/>
      <c r="AJ48" s="17" t="n"/>
      <c r="AK48" s="17" t="n"/>
      <c r="AL48" s="17" t="n"/>
      <c r="AM48" s="17" t="n"/>
      <c r="AN48" s="17" t="n"/>
    </row>
    <row r="49" ht="15" customHeight="1">
      <c r="A49" s="13">
        <f>IF(COUNTA($B49:$K49)=0,"",ROW()-1)</f>
        <v/>
      </c>
      <c r="B49" s="14" t="inlineStr">
        <is>
          <t>Invoice</t>
        </is>
      </c>
      <c r="C49" s="15" t="n">
        <v>46234</v>
      </c>
      <c r="D49" s="16" t="inlineStr">
        <is>
          <t>Production</t>
        </is>
      </c>
      <c r="E49" s="13">
        <f>IF($B49="","",IF($B49="WIP","WIP",IFERROR(INDEX(Lists!$G$4:$G$10,MATCH($D49,Lists!$F$4:$F$10,0)),"Unmapped")))</f>
        <v/>
      </c>
      <c r="F49" s="16" t="n"/>
      <c r="G49" s="16" t="inlineStr">
        <is>
          <t>PWC</t>
        </is>
      </c>
      <c r="H49" s="14" t="n">
        <v>26062202</v>
      </c>
      <c r="I49" s="16" t="inlineStr">
        <is>
          <t>Early Careers Webcast 29.7.26</t>
        </is>
      </c>
      <c r="J49" s="14" t="inlineStr">
        <is>
          <t>INV-10555</t>
        </is>
      </c>
      <c r="K49" s="17" t="n">
        <v>1925</v>
      </c>
      <c r="L49" s="18">
        <f>IF($K49="","",IF($E49="Production",$K49-N($AD49),$K49))</f>
        <v/>
      </c>
      <c r="M49" s="18">
        <f>IF($E49="Production",IF($K49="","",$K49-(N($AF49)+N($AG49))),IF($E49="Consulting",IF($K49="","",$K49-(N($AL49)+N($AM49)+N($AN49))),""))</f>
        <v/>
      </c>
      <c r="N49" s="19">
        <f>IFERROR($M49/$K49,"")</f>
        <v/>
      </c>
      <c r="O49" s="13">
        <f>IF(COUNTA($B49:$K49)=0,"",IF($C49="","No date",IF(AND($C49&gt;=Lists!$B$3,$C49&lt;Lists!$B$4),"In FY27","Outside FY27")))</f>
        <v/>
      </c>
      <c r="P49" s="13">
        <f>IF($E49&lt;&gt;"WIP","",IF($H49="","",IF(COUNTIFS($E$2:$E$20000,"&lt;&gt;WIP",$H$2:$H$20000,$H49)&gt;0,"Job already invoiced","")))</f>
        <v/>
      </c>
      <c r="Q49" s="16" t="n"/>
      <c r="R49" s="16" t="inlineStr">
        <is>
          <t>libby.kovac@au.pwc.com</t>
        </is>
      </c>
      <c r="S49" s="15" t="n">
        <v>46232</v>
      </c>
      <c r="T49" s="14" t="n">
        <v>26062202</v>
      </c>
      <c r="U49" s="14" t="n">
        <v>6075</v>
      </c>
      <c r="V49" s="14" t="inlineStr">
        <is>
          <t>Y</t>
        </is>
      </c>
      <c r="W49" s="14" t="inlineStr">
        <is>
          <t>Y</t>
        </is>
      </c>
      <c r="X49" s="14" t="n">
        <v>8</v>
      </c>
      <c r="Y49" s="14" t="n"/>
      <c r="Z49" s="14" t="n">
        <v>1</v>
      </c>
      <c r="AA49" s="14" t="n"/>
      <c r="AB49" s="14" t="n">
        <v>8</v>
      </c>
      <c r="AC49" s="17" t="n"/>
      <c r="AD49" s="17" t="n">
        <v>4452.72</v>
      </c>
      <c r="AE49" s="19">
        <f>IF($E49&lt;&gt;"Production","",IFERROR($AD49/$L49,""))</f>
        <v/>
      </c>
      <c r="AF49" s="17" t="n">
        <v>19155.02</v>
      </c>
      <c r="AG49" s="17" t="n"/>
      <c r="AH49" s="16" t="n"/>
      <c r="AI49" s="17" t="n"/>
      <c r="AJ49" s="17" t="n"/>
      <c r="AK49" s="17" t="n"/>
      <c r="AL49" s="17" t="n"/>
      <c r="AM49" s="17" t="n"/>
      <c r="AN49" s="17" t="n"/>
    </row>
    <row r="50" ht="15" customHeight="1">
      <c r="A50" s="13">
        <f>IF(COUNTA($B50:$K50)=0,"",ROW()-1)</f>
        <v/>
      </c>
      <c r="B50" s="14" t="inlineStr">
        <is>
          <t>Invoice</t>
        </is>
      </c>
      <c r="C50" s="15" t="n">
        <v>46234</v>
      </c>
      <c r="D50" s="16" t="inlineStr">
        <is>
          <t>Production</t>
        </is>
      </c>
      <c r="E50" s="13">
        <f>IF($B50="","",IF($B50="WIP","WIP",IFERROR(INDEX(Lists!$G$4:$G$10,MATCH($D50,Lists!$F$4:$F$10,0)),"Unmapped")))</f>
        <v/>
      </c>
      <c r="F50" s="16" t="n"/>
      <c r="G50" s="16" t="inlineStr">
        <is>
          <t>Ventia (Melbourne)</t>
        </is>
      </c>
      <c r="H50" s="14" t="n">
        <v>26071303</v>
      </c>
      <c r="I50" s="16" t="inlineStr">
        <is>
          <t>Melbourne Office Event 30&amp;31.7.26</t>
        </is>
      </c>
      <c r="J50" s="14" t="inlineStr">
        <is>
          <t>INV-10558</t>
        </is>
      </c>
      <c r="K50" s="17" t="n">
        <v>11570</v>
      </c>
      <c r="L50" s="18">
        <f>IF($K50="","",IF($E50="Production",$K50-N($AD50),$K50))</f>
        <v/>
      </c>
      <c r="M50" s="18">
        <f>IF($E50="Production",IF($K50="","",$K50-(N($AF50)+N($AG50))),IF($E50="Consulting",IF($K50="","",$K50-(N($AL50)+N($AM50)+N($AN50))),""))</f>
        <v/>
      </c>
      <c r="N50" s="19">
        <f>IFERROR($M50/$K50,"")</f>
        <v/>
      </c>
      <c r="O50" s="13">
        <f>IF(COUNTA($B50:$K50)=0,"",IF($C50="","No date",IF(AND($C50&gt;=Lists!$B$3,$C50&lt;Lists!$B$4),"In FY27","Outside FY27")))</f>
        <v/>
      </c>
      <c r="P50" s="13">
        <f>IF($E50&lt;&gt;"WIP","",IF($H50="","",IF(COUNTIFS($E$2:$E$20000,"&lt;&gt;WIP",$H$2:$H$20000,$H50)&gt;0,"Job already invoiced","")))</f>
        <v/>
      </c>
      <c r="Q50" s="16" t="n"/>
      <c r="R50" s="16" t="inlineStr">
        <is>
          <t>Lauren.Quinn@ventia.com</t>
        </is>
      </c>
      <c r="S50" s="15" t="n">
        <v>46233</v>
      </c>
      <c r="T50" s="14" t="n">
        <v>26071303</v>
      </c>
      <c r="U50" s="14" t="n">
        <v>6125</v>
      </c>
      <c r="V50" s="14" t="inlineStr">
        <is>
          <t>Y</t>
        </is>
      </c>
      <c r="W50" s="14" t="inlineStr">
        <is>
          <t>Y</t>
        </is>
      </c>
      <c r="X50" s="14" t="n"/>
      <c r="Y50" s="14" t="n"/>
      <c r="Z50" s="14" t="n"/>
      <c r="AA50" s="14" t="n"/>
      <c r="AB50" s="14" t="n">
        <v>40</v>
      </c>
      <c r="AC50" s="17" t="n"/>
      <c r="AD50" s="17" t="n"/>
      <c r="AE50" s="19">
        <f>IF($E50&lt;&gt;"Production","",IFERROR($AD50/$L50,""))</f>
        <v/>
      </c>
      <c r="AF50" s="17" t="n">
        <v>9487</v>
      </c>
      <c r="AG50" s="17" t="n"/>
      <c r="AH50" s="16" t="n"/>
      <c r="AI50" s="17" t="n"/>
      <c r="AJ50" s="17" t="n"/>
      <c r="AK50" s="17" t="n"/>
      <c r="AL50" s="17" t="n"/>
      <c r="AM50" s="17" t="n"/>
      <c r="AN50" s="17" t="n"/>
    </row>
    <row r="51" ht="15" customHeight="1">
      <c r="A51" s="13">
        <f>IF(COUNTA($B51:$K51)=0,"",ROW()-1)</f>
        <v/>
      </c>
      <c r="B51" s="14" t="inlineStr">
        <is>
          <t>Invoice</t>
        </is>
      </c>
      <c r="C51" s="15" t="n">
        <v>46234</v>
      </c>
      <c r="D51" s="16" t="inlineStr">
        <is>
          <t>Production</t>
        </is>
      </c>
      <c r="E51" s="13">
        <f>IF($B51="","",IF($B51="WIP","WIP",IFERROR(INDEX(Lists!$G$4:$G$10,MATCH($D51,Lists!$F$4:$F$10,0)),"Unmapped")))</f>
        <v/>
      </c>
      <c r="F51" s="16" t="n"/>
      <c r="G51" s="16" t="inlineStr">
        <is>
          <t>Garvan</t>
        </is>
      </c>
      <c r="H51" s="14" t="n">
        <v>26061702</v>
      </c>
      <c r="I51" s="16" t="inlineStr">
        <is>
          <t>Morning Tea Event 31.7.26 (PO-58817)</t>
        </is>
      </c>
      <c r="J51" s="14" t="inlineStr">
        <is>
          <t>INV-10556</t>
        </is>
      </c>
      <c r="K51" s="17" t="n">
        <v>1120</v>
      </c>
      <c r="L51" s="18">
        <f>IF($K51="","",IF($E51="Production",$K51-N($AD51),$K51))</f>
        <v/>
      </c>
      <c r="M51" s="18">
        <f>IF($E51="Production",IF($K51="","",$K51-(N($AF51)+N($AG51))),IF($E51="Consulting",IF($K51="","",$K51-(N($AL51)+N($AM51)+N($AN51))),""))</f>
        <v/>
      </c>
      <c r="N51" s="19">
        <f>IFERROR($M51/$K51,"")</f>
        <v/>
      </c>
      <c r="O51" s="13">
        <f>IF(COUNTA($B51:$K51)=0,"",IF($C51="","No date",IF(AND($C51&gt;=Lists!$B$3,$C51&lt;Lists!$B$4),"In FY27","Outside FY27")))</f>
        <v/>
      </c>
      <c r="P51" s="13">
        <f>IF($E51&lt;&gt;"WIP","",IF($H51="","",IF(COUNTIFS($E$2:$E$20000,"&lt;&gt;WIP",$H$2:$H$20000,$H51)&gt;0,"Job already invoiced","")))</f>
        <v/>
      </c>
      <c r="Q51" s="16" t="n"/>
      <c r="R51" s="16" t="inlineStr">
        <is>
          <t>l.cordt@garvan.org.au</t>
        </is>
      </c>
      <c r="S51" s="15" t="n">
        <v>46234</v>
      </c>
      <c r="T51" s="14" t="n">
        <v>26061702</v>
      </c>
      <c r="U51" s="14" t="n">
        <v>6066</v>
      </c>
      <c r="V51" s="14" t="inlineStr">
        <is>
          <t>Y</t>
        </is>
      </c>
      <c r="W51" s="14" t="inlineStr">
        <is>
          <t>Y</t>
        </is>
      </c>
      <c r="X51" s="14" t="n"/>
      <c r="Y51" s="14" t="n"/>
      <c r="Z51" s="14" t="n"/>
      <c r="AA51" s="14" t="n"/>
      <c r="AB51" s="14" t="n">
        <v>10</v>
      </c>
      <c r="AC51" s="17" t="n"/>
      <c r="AD51" s="17" t="n"/>
      <c r="AE51" s="19">
        <f>IF($E51&lt;&gt;"Production","",IFERROR($AD51/$L51,""))</f>
        <v/>
      </c>
      <c r="AF51" s="17" t="n"/>
      <c r="AG51" s="17" t="n"/>
      <c r="AH51" s="16" t="n"/>
      <c r="AI51" s="17" t="n"/>
      <c r="AJ51" s="17" t="n"/>
      <c r="AK51" s="17" t="n"/>
      <c r="AL51" s="17" t="n"/>
      <c r="AM51" s="17" t="n"/>
      <c r="AN51" s="17" t="n"/>
    </row>
    <row r="52" ht="15" customHeight="1">
      <c r="A52" s="13">
        <f>IF(COUNTA($B52:$K52)=0,"",ROW()-1)</f>
        <v/>
      </c>
      <c r="B52" s="14" t="inlineStr">
        <is>
          <t>Invoice</t>
        </is>
      </c>
      <c r="C52" s="15" t="n">
        <v>46234</v>
      </c>
      <c r="D52" s="16" t="inlineStr">
        <is>
          <t>Production</t>
        </is>
      </c>
      <c r="E52" s="13">
        <f>IF($B52="","",IF($B52="WIP","WIP",IFERROR(INDEX(Lists!$G$4:$G$10,MATCH($D52,Lists!$F$4:$F$10,0)),"Unmapped")))</f>
        <v/>
      </c>
      <c r="F52" s="16" t="n"/>
      <c r="G52" s="16" t="inlineStr">
        <is>
          <t>CBA</t>
        </is>
      </c>
      <c r="H52" s="14" t="n">
        <v>26061701</v>
      </c>
      <c r="I52" s="16" t="inlineStr">
        <is>
          <t>CBA LES July 2026</t>
        </is>
      </c>
      <c r="J52" s="14" t="inlineStr">
        <is>
          <t>INV-10559</t>
        </is>
      </c>
      <c r="K52" s="17" t="n">
        <v>8882.5</v>
      </c>
      <c r="L52" s="18">
        <f>IF($K52="","",IF($E52="Production",$K52-N($AD52),$K52))</f>
        <v/>
      </c>
      <c r="M52" s="18">
        <f>IF($E52="Production",IF($K52="","",$K52-(N($AF52)+N($AG52))),IF($E52="Consulting",IF($K52="","",$K52-(N($AL52)+N($AM52)+N($AN52))),""))</f>
        <v/>
      </c>
      <c r="N52" s="19">
        <f>IFERROR($M52/$K52,"")</f>
        <v/>
      </c>
      <c r="O52" s="13">
        <f>IF(COUNTA($B52:$K52)=0,"",IF($C52="","No date",IF(AND($C52&gt;=Lists!$B$3,$C52&lt;Lists!$B$4),"In FY27","Outside FY27")))</f>
        <v/>
      </c>
      <c r="P52" s="13">
        <f>IF($E52&lt;&gt;"WIP","",IF($H52="","",IF(COUNTIFS($E$2:$E$20000,"&lt;&gt;WIP",$H$2:$H$20000,$H52)&gt;0,"Job already invoiced","")))</f>
        <v/>
      </c>
      <c r="Q52" s="16" t="n"/>
      <c r="R52" s="16" t="inlineStr">
        <is>
          <t>steve.chezzi@cba.com.au</t>
        </is>
      </c>
      <c r="S52" s="15" t="n">
        <v>46234</v>
      </c>
      <c r="T52" s="14" t="n">
        <v>26061701</v>
      </c>
      <c r="U52" s="14" t="n">
        <v>6145</v>
      </c>
      <c r="V52" s="14" t="inlineStr">
        <is>
          <t>Y</t>
        </is>
      </c>
      <c r="W52" s="14" t="inlineStr">
        <is>
          <t>Y</t>
        </is>
      </c>
      <c r="X52" s="14" t="n"/>
      <c r="Y52" s="14" t="n"/>
      <c r="Z52" s="14" t="n"/>
      <c r="AA52" s="14" t="n"/>
      <c r="AB52" s="14" t="n"/>
      <c r="AC52" s="17" t="n"/>
      <c r="AD52" s="17" t="n"/>
      <c r="AE52" s="19">
        <f>IF($E52&lt;&gt;"Production","",IFERROR($AD52/$L52,""))</f>
        <v/>
      </c>
      <c r="AF52" s="17" t="n"/>
      <c r="AG52" s="17" t="n"/>
      <c r="AH52" s="16" t="n"/>
      <c r="AI52" s="17" t="n"/>
      <c r="AJ52" s="17" t="n"/>
      <c r="AK52" s="17" t="n"/>
      <c r="AL52" s="17" t="n"/>
      <c r="AM52" s="17" t="n"/>
      <c r="AN52" s="17" t="n"/>
    </row>
    <row r="53" ht="15" customHeight="1">
      <c r="A53" s="13">
        <f>IF(COUNTA($B53:$K53)=0,"",ROW()-1)</f>
        <v/>
      </c>
      <c r="B53" s="14" t="inlineStr">
        <is>
          <t>Invoice</t>
        </is>
      </c>
      <c r="C53" s="15" t="n">
        <v>46247</v>
      </c>
      <c r="D53" s="16" t="inlineStr">
        <is>
          <t>Production</t>
        </is>
      </c>
      <c r="E53" s="13">
        <f>IF($B53="","",IF($B53="WIP","WIP",IFERROR(INDEX(Lists!$G$4:$G$10,MATCH($D53,Lists!$F$4:$F$10,0)),"Unmapped")))</f>
        <v/>
      </c>
      <c r="F53" s="16" t="n"/>
      <c r="G53" s="16" t="inlineStr">
        <is>
          <t>CBA</t>
        </is>
      </c>
      <c r="H53" s="14" t="n">
        <v>26061701</v>
      </c>
      <c r="I53" s="16" t="inlineStr">
        <is>
          <t>CBA LES July 2026 Loading Reversal</t>
        </is>
      </c>
      <c r="J53" s="14" t="inlineStr">
        <is>
          <t>CN-10563</t>
        </is>
      </c>
      <c r="K53" s="17" t="n">
        <v>-332.5</v>
      </c>
      <c r="L53" s="18">
        <f>IF($K53="","",IF($E53="Production",$K53-N($AD53),$K53))</f>
        <v/>
      </c>
      <c r="M53" s="18">
        <f>IF($E53="Production",IF($K53="","",$K53-(N($AF53)+N($AG53))),IF($E53="Consulting",IF($K53="","",$K53-(N($AL53)+N($AM53)+N($AN53))),""))</f>
        <v/>
      </c>
      <c r="N53" s="19">
        <f>IFERROR($M53/$K53,"")</f>
        <v/>
      </c>
      <c r="O53" s="13">
        <f>IF(COUNTA($B53:$K53)=0,"",IF($C53="","No date",IF(AND($C53&gt;=Lists!$B$3,$C53&lt;Lists!$B$4),"In FY27","Outside FY27")))</f>
        <v/>
      </c>
      <c r="P53" s="13">
        <f>IF($E53&lt;&gt;"WIP","",IF($H53="","",IF(COUNTIFS($E$2:$E$20000,"&lt;&gt;WIP",$H$2:$H$20000,$H53)&gt;0,"Job already invoiced","")))</f>
        <v/>
      </c>
      <c r="Q53" s="16" t="n"/>
      <c r="R53" s="16" t="inlineStr">
        <is>
          <t>steve.chezzi@cba.com.au</t>
        </is>
      </c>
      <c r="S53" s="15" t="n">
        <v>46234</v>
      </c>
      <c r="T53" s="14" t="n">
        <v>26061701</v>
      </c>
      <c r="U53" s="14" t="n">
        <v>6145</v>
      </c>
      <c r="V53" s="14" t="inlineStr">
        <is>
          <t>Y</t>
        </is>
      </c>
      <c r="W53" s="14" t="inlineStr">
        <is>
          <t>Y</t>
        </is>
      </c>
      <c r="X53" s="14" t="n"/>
      <c r="Y53" s="14" t="n"/>
      <c r="Z53" s="14" t="n"/>
      <c r="AA53" s="14" t="n"/>
      <c r="AB53" s="14" t="n"/>
      <c r="AC53" s="17" t="n"/>
      <c r="AD53" s="17" t="n"/>
      <c r="AE53" s="19">
        <f>IF($E53&lt;&gt;"Production","",IFERROR($AD53/$L53,""))</f>
        <v/>
      </c>
      <c r="AF53" s="17" t="n"/>
      <c r="AG53" s="17" t="n"/>
      <c r="AH53" s="16" t="n"/>
      <c r="AI53" s="17" t="n"/>
      <c r="AJ53" s="17" t="n"/>
      <c r="AK53" s="17" t="n"/>
      <c r="AL53" s="17" t="n"/>
      <c r="AM53" s="17" t="n"/>
      <c r="AN53" s="17" t="n"/>
    </row>
    <row r="54" ht="15" customHeight="1">
      <c r="A54" s="13">
        <f>IF(COUNTA($B54:$K54)=0,"",ROW()-1)</f>
        <v/>
      </c>
      <c r="B54" s="14" t="inlineStr">
        <is>
          <t>Invoice</t>
        </is>
      </c>
      <c r="C54" s="15" t="n">
        <v>46247</v>
      </c>
      <c r="D54" s="16" t="inlineStr">
        <is>
          <t>Production</t>
        </is>
      </c>
      <c r="E54" s="13">
        <f>IF($B54="","",IF($B54="WIP","WIP",IFERROR(INDEX(Lists!$G$4:$G$10,MATCH($D54,Lists!$F$4:$F$10,0)),"Unmapped")))</f>
        <v/>
      </c>
      <c r="F54" s="16" t="n"/>
      <c r="G54" s="16" t="inlineStr">
        <is>
          <t>RSNSW</t>
        </is>
      </c>
      <c r="H54" s="14" t="n">
        <v>2512804</v>
      </c>
      <c r="I54" s="16" t="inlineStr">
        <is>
          <t>Ordinary General Meeting 5.8.26</t>
        </is>
      </c>
      <c r="J54" s="14" t="n"/>
      <c r="K54" s="17" t="n">
        <v>3261</v>
      </c>
      <c r="L54" s="18">
        <f>IF($K54="","",IF($E54="Production",$K54-N($AD54),$K54))</f>
        <v/>
      </c>
      <c r="M54" s="18">
        <f>IF($E54="Production",IF($K54="","",$K54-(N($AF54)+N($AG54))),IF($E54="Consulting",IF($K54="","",$K54-(N($AL54)+N($AM54)+N($AN54))),""))</f>
        <v/>
      </c>
      <c r="N54" s="19">
        <f>IFERROR($M54/$K54,"")</f>
        <v/>
      </c>
      <c r="O54" s="13">
        <f>IF(COUNTA($B54:$K54)=0,"",IF($C54="","No date",IF(AND($C54&gt;=Lists!$B$3,$C54&lt;Lists!$B$4),"In FY27","Outside FY27")))</f>
        <v/>
      </c>
      <c r="P54" s="13">
        <f>IF($E54&lt;&gt;"WIP","",IF($H54="","",IF(COUNTIFS($E$2:$E$20000,"&lt;&gt;WIP",$H$2:$H$20000,$H54)&gt;0,"Job already invoiced","")))</f>
        <v/>
      </c>
      <c r="Q54" s="16" t="n"/>
      <c r="R54" s="16" t="inlineStr">
        <is>
          <t>lindsay.botten@outlook.com</t>
        </is>
      </c>
      <c r="S54" s="15" t="n">
        <v>46239</v>
      </c>
      <c r="T54" s="14" t="n">
        <v>2512804</v>
      </c>
      <c r="U54" s="14" t="n">
        <v>5826</v>
      </c>
      <c r="V54" s="14" t="inlineStr">
        <is>
          <t>Y</t>
        </is>
      </c>
      <c r="W54" s="14" t="inlineStr">
        <is>
          <t>Y</t>
        </is>
      </c>
      <c r="X54" s="14" t="n">
        <v>4</v>
      </c>
      <c r="Y54" s="14" t="n"/>
      <c r="Z54" s="14" t="n"/>
      <c r="AA54" s="14" t="n"/>
      <c r="AB54" s="14" t="n">
        <v>12</v>
      </c>
      <c r="AC54" s="17" t="n">
        <v>1029</v>
      </c>
      <c r="AD54" s="17" t="n">
        <v>334</v>
      </c>
      <c r="AE54" s="19">
        <f>IF($E54&lt;&gt;"Production","",IFERROR($AD54/$L54,""))</f>
        <v/>
      </c>
      <c r="AF54" s="17" t="n"/>
      <c r="AG54" s="17" t="n"/>
      <c r="AH54" s="16" t="n"/>
      <c r="AI54" s="17" t="n"/>
      <c r="AJ54" s="17" t="n"/>
      <c r="AK54" s="17" t="n"/>
      <c r="AL54" s="17" t="n"/>
      <c r="AM54" s="17" t="n"/>
      <c r="AN54" s="17" t="n"/>
    </row>
    <row r="55" ht="15" customHeight="1">
      <c r="A55" s="13">
        <f>IF(COUNTA($B55:$K55)=0,"",ROW()-1)</f>
        <v/>
      </c>
      <c r="B55" s="14" t="inlineStr">
        <is>
          <t>Invoice</t>
        </is>
      </c>
      <c r="C55" s="15" t="n">
        <v>46247</v>
      </c>
      <c r="D55" s="16" t="inlineStr">
        <is>
          <t>Production</t>
        </is>
      </c>
      <c r="E55" s="13">
        <f>IF($B55="","",IF($B55="WIP","WIP",IFERROR(INDEX(Lists!$G$4:$G$10,MATCH($D55,Lists!$F$4:$F$10,0)),"Unmapped")))</f>
        <v/>
      </c>
      <c r="F55" s="16" t="n"/>
      <c r="G55" s="16" t="inlineStr">
        <is>
          <t>Garvan</t>
        </is>
      </c>
      <c r="H55" s="14" t="n">
        <v>2607703</v>
      </c>
      <c r="I55" s="16" t="inlineStr">
        <is>
          <t>YPO Event 6.8.26 (PO-58493)</t>
        </is>
      </c>
      <c r="J55" s="14" t="n"/>
      <c r="K55" s="17" t="n">
        <v>2152.5</v>
      </c>
      <c r="L55" s="18">
        <f>IF($K55="","",IF($E55="Production",$K55-N($AD55),$K55))</f>
        <v/>
      </c>
      <c r="M55" s="18">
        <f>IF($E55="Production",IF($K55="","",$K55-(N($AF55)+N($AG55))),IF($E55="Consulting",IF($K55="","",$K55-(N($AL55)+N($AM55)+N($AN55))),""))</f>
        <v/>
      </c>
      <c r="N55" s="19">
        <f>IFERROR($M55/$K55,"")</f>
        <v/>
      </c>
      <c r="O55" s="13">
        <f>IF(COUNTA($B55:$K55)=0,"",IF($C55="","No date",IF(AND($C55&gt;=Lists!$B$3,$C55&lt;Lists!$B$4),"In FY27","Outside FY27")))</f>
        <v/>
      </c>
      <c r="P55" s="13">
        <f>IF($E55&lt;&gt;"WIP","",IF($H55="","",IF(COUNTIFS($E$2:$E$20000,"&lt;&gt;WIP",$H$2:$H$20000,$H55)&gt;0,"Job already invoiced","")))</f>
        <v/>
      </c>
      <c r="Q55" s="16" t="n"/>
      <c r="R55" s="16" t="inlineStr">
        <is>
          <t>m.gonzalezhuerta@garvan.org.au</t>
        </is>
      </c>
      <c r="S55" s="15" t="n">
        <v>46240</v>
      </c>
      <c r="T55" s="14" t="n">
        <v>2607703</v>
      </c>
      <c r="U55" s="14" t="n">
        <v>6088</v>
      </c>
      <c r="V55" s="14" t="inlineStr">
        <is>
          <t>Y</t>
        </is>
      </c>
      <c r="W55" s="14" t="inlineStr">
        <is>
          <t>Y</t>
        </is>
      </c>
      <c r="X55" s="14" t="n"/>
      <c r="Y55" s="14" t="n"/>
      <c r="Z55" s="14" t="n"/>
      <c r="AA55" s="14" t="n"/>
      <c r="AB55" s="14" t="n">
        <v>11</v>
      </c>
      <c r="AC55" s="17" t="n"/>
      <c r="AD55" s="17" t="n">
        <v>0</v>
      </c>
      <c r="AE55" s="19">
        <f>IF($E55&lt;&gt;"Production","",IFERROR($AD55/$L55,""))</f>
        <v/>
      </c>
      <c r="AF55" s="17" t="n"/>
      <c r="AG55" s="17" t="n"/>
      <c r="AH55" s="16" t="n"/>
      <c r="AI55" s="17" t="n"/>
      <c r="AJ55" s="17" t="n"/>
      <c r="AK55" s="17" t="n"/>
      <c r="AL55" s="17" t="n"/>
      <c r="AM55" s="17" t="n"/>
      <c r="AN55" s="17" t="n"/>
    </row>
    <row r="56" ht="15" customHeight="1">
      <c r="A56" s="13">
        <f>IF(COUNTA($B56:$K56)=0,"",ROW()-1)</f>
        <v/>
      </c>
      <c r="B56" s="14" t="inlineStr">
        <is>
          <t>Invoice</t>
        </is>
      </c>
      <c r="C56" s="15" t="n">
        <v>46247</v>
      </c>
      <c r="D56" s="16" t="inlineStr">
        <is>
          <t>Production</t>
        </is>
      </c>
      <c r="E56" s="13">
        <f>IF($B56="","",IF($B56="WIP","WIP",IFERROR(INDEX(Lists!$G$4:$G$10,MATCH($D56,Lists!$F$4:$F$10,0)),"Unmapped")))</f>
        <v/>
      </c>
      <c r="F56" s="16" t="n"/>
      <c r="G56" s="16" t="inlineStr">
        <is>
          <t>PwC</t>
        </is>
      </c>
      <c r="H56" s="14" t="n">
        <v>26072902</v>
      </c>
      <c r="I56" s="16" t="inlineStr">
        <is>
          <t>AI Townhall 6.8.26 (PO2601703328)</t>
        </is>
      </c>
      <c r="J56" s="14" t="n"/>
      <c r="K56" s="17" t="n">
        <v>1650</v>
      </c>
      <c r="L56" s="18">
        <f>IF($K56="","",IF($E56="Production",$K56-N($AD56),$K56))</f>
        <v/>
      </c>
      <c r="M56" s="18">
        <f>IF($E56="Production",IF($K56="","",$K56-(N($AF56)+N($AG56))),IF($E56="Consulting",IF($K56="","",$K56-(N($AL56)+N($AM56)+N($AN56))),""))</f>
        <v/>
      </c>
      <c r="N56" s="19">
        <f>IFERROR($M56/$K56,"")</f>
        <v/>
      </c>
      <c r="O56" s="13">
        <f>IF(COUNTA($B56:$K56)=0,"",IF($C56="","No date",IF(AND($C56&gt;=Lists!$B$3,$C56&lt;Lists!$B$4),"In FY27","Outside FY27")))</f>
        <v/>
      </c>
      <c r="P56" s="13">
        <f>IF($E56&lt;&gt;"WIP","",IF($H56="","",IF(COUNTIFS($E$2:$E$20000,"&lt;&gt;WIP",$H$2:$H$20000,$H56)&gt;0,"Job already invoiced","")))</f>
        <v/>
      </c>
      <c r="Q56" s="16" t="n"/>
      <c r="R56" s="16" t="inlineStr">
        <is>
          <t>libby.kovac@au.pwc.com</t>
        </is>
      </c>
      <c r="S56" s="15" t="n">
        <v>46240</v>
      </c>
      <c r="T56" s="14" t="n">
        <v>26072902</v>
      </c>
      <c r="U56" s="14" t="n">
        <v>6128</v>
      </c>
      <c r="V56" s="14" t="inlineStr">
        <is>
          <t>Y</t>
        </is>
      </c>
      <c r="W56" s="14" t="inlineStr">
        <is>
          <t>Y</t>
        </is>
      </c>
      <c r="X56" s="14" t="n">
        <v>4</v>
      </c>
      <c r="Y56" s="14" t="n"/>
      <c r="Z56" s="14" t="n">
        <v>1</v>
      </c>
      <c r="AA56" s="14" t="n"/>
      <c r="AB56" s="14" t="n">
        <v>10</v>
      </c>
      <c r="AC56" s="17" t="n">
        <v>485</v>
      </c>
      <c r="AD56" s="17" t="n"/>
      <c r="AE56" s="19">
        <f>IF($E56&lt;&gt;"Production","",IFERROR($AD56/$L56,""))</f>
        <v/>
      </c>
      <c r="AF56" s="17" t="n">
        <v>1092.36</v>
      </c>
      <c r="AG56" s="17" t="n"/>
      <c r="AH56" s="16" t="n"/>
      <c r="AI56" s="17" t="n"/>
      <c r="AJ56" s="17" t="n"/>
      <c r="AK56" s="17" t="n"/>
      <c r="AL56" s="17" t="n"/>
      <c r="AM56" s="17" t="n"/>
      <c r="AN56" s="17" t="n"/>
    </row>
    <row r="57" ht="15" customHeight="1">
      <c r="A57" s="13">
        <f>IF(COUNTA($B57:$K57)=0,"",ROW()-1)</f>
        <v/>
      </c>
      <c r="B57" s="14" t="inlineStr">
        <is>
          <t>Invoice</t>
        </is>
      </c>
      <c r="C57" s="15" t="n">
        <v>46255</v>
      </c>
      <c r="D57" s="16" t="inlineStr">
        <is>
          <t>Production</t>
        </is>
      </c>
      <c r="E57" s="13">
        <f>IF($B57="","",IF($B57="WIP","WIP",IFERROR(INDEX(Lists!$G$4:$G$10,MATCH($D57,Lists!$F$4:$F$10,0)),"Unmapped")))</f>
        <v/>
      </c>
      <c r="F57" s="16" t="n"/>
      <c r="G57" s="16" t="inlineStr">
        <is>
          <t>Elkiem</t>
        </is>
      </c>
      <c r="H57" s="14" t="n">
        <v>26071901</v>
      </c>
      <c r="I57" s="16" t="inlineStr">
        <is>
          <t>Studio Support 11.8.26</t>
        </is>
      </c>
      <c r="J57" s="14" t="inlineStr">
        <is>
          <t>INV-10580</t>
        </is>
      </c>
      <c r="K57" s="17" t="n">
        <v>380</v>
      </c>
      <c r="L57" s="18">
        <f>IF($K57="","",IF($E57="Production",$K57-N($AD57),$K57))</f>
        <v/>
      </c>
      <c r="M57" s="18">
        <f>IF($E57="Production",IF($K57="","",$K57-(N($AF57)+N($AG57))),IF($E57="Consulting",IF($K57="","",$K57-(N($AL57)+N($AM57)+N($AN57))),""))</f>
        <v/>
      </c>
      <c r="N57" s="19">
        <f>IFERROR($M57/$K57,"")</f>
        <v/>
      </c>
      <c r="O57" s="13">
        <f>IF(COUNTA($B57:$K57)=0,"",IF($C57="","No date",IF(AND($C57&gt;=Lists!$B$3,$C57&lt;Lists!$B$4),"In FY27","Outside FY27")))</f>
        <v/>
      </c>
      <c r="P57" s="13">
        <f>IF($E57&lt;&gt;"WIP","",IF($H57="","",IF(COUNTIFS($E$2:$E$20000,"&lt;&gt;WIP",$H$2:$H$20000,$H57)&gt;0,"Job already invoiced","")))</f>
        <v/>
      </c>
      <c r="Q57" s="16" t="n"/>
      <c r="R57" s="16" t="inlineStr">
        <is>
          <t>ben.woodlock@elkiem.com</t>
        </is>
      </c>
      <c r="S57" s="15" t="n">
        <v>46245</v>
      </c>
      <c r="T57" s="14" t="n">
        <v>26071901</v>
      </c>
      <c r="U57" s="14" t="n">
        <v>6127</v>
      </c>
      <c r="V57" s="14" t="inlineStr">
        <is>
          <t>Y</t>
        </is>
      </c>
      <c r="W57" s="14" t="inlineStr">
        <is>
          <t>Y</t>
        </is>
      </c>
      <c r="X57" s="14" t="n"/>
      <c r="Y57" s="14" t="n"/>
      <c r="Z57" s="14" t="n"/>
      <c r="AA57" s="14" t="n"/>
      <c r="AB57" s="14" t="n">
        <v>4</v>
      </c>
      <c r="AC57" s="17" t="n"/>
      <c r="AD57" s="17" t="n"/>
      <c r="AE57" s="19">
        <f>IF($E57&lt;&gt;"Production","",IFERROR($AD57/$L57,""))</f>
        <v/>
      </c>
      <c r="AF57" s="17" t="n"/>
      <c r="AG57" s="17" t="n"/>
      <c r="AH57" s="16" t="n"/>
      <c r="AI57" s="17" t="n"/>
      <c r="AJ57" s="17" t="n"/>
      <c r="AK57" s="17" t="n"/>
      <c r="AL57" s="17" t="n"/>
      <c r="AM57" s="17" t="n"/>
      <c r="AN57" s="17" t="n"/>
    </row>
    <row r="58" ht="15" customHeight="1">
      <c r="A58" s="13">
        <f>IF(COUNTA($B58:$K58)=0,"",ROW()-1)</f>
        <v/>
      </c>
      <c r="B58" s="14" t="inlineStr">
        <is>
          <t>Invoice</t>
        </is>
      </c>
      <c r="C58" s="15" t="n">
        <v>46255</v>
      </c>
      <c r="D58" s="16" t="inlineStr">
        <is>
          <t>Production</t>
        </is>
      </c>
      <c r="E58" s="13">
        <f>IF($B58="","",IF($B58="WIP","WIP",IFERROR(INDEX(Lists!$G$4:$G$10,MATCH($D58,Lists!$F$4:$F$10,0)),"Unmapped")))</f>
        <v/>
      </c>
      <c r="F58" s="16" t="n"/>
      <c r="G58" s="16" t="inlineStr">
        <is>
          <t>CEO Institute</t>
        </is>
      </c>
      <c r="H58" s="14" t="n">
        <v>26063002</v>
      </c>
      <c r="I58" s="16" t="inlineStr">
        <is>
          <t>CEO Connect 11.8.26</t>
        </is>
      </c>
      <c r="J58" s="14" t="inlineStr">
        <is>
          <t>INV-10581</t>
        </is>
      </c>
      <c r="K58" s="17" t="n">
        <v>8260.35</v>
      </c>
      <c r="L58" s="18">
        <f>IF($K58="","",IF($E58="Production",$K58-N($AD58),$K58))</f>
        <v/>
      </c>
      <c r="M58" s="18">
        <f>IF($E58="Production",IF($K58="","",$K58-(N($AF58)+N($AG58))),IF($E58="Consulting",IF($K58="","",$K58-(N($AL58)+N($AM58)+N($AN58))),""))</f>
        <v/>
      </c>
      <c r="N58" s="19">
        <f>IFERROR($M58/$K58,"")</f>
        <v/>
      </c>
      <c r="O58" s="13">
        <f>IF(COUNTA($B58:$K58)=0,"",IF($C58="","No date",IF(AND($C58&gt;=Lists!$B$3,$C58&lt;Lists!$B$4),"In FY27","Outside FY27")))</f>
        <v/>
      </c>
      <c r="P58" s="13">
        <f>IF($E58&lt;&gt;"WIP","",IF($H58="","",IF(COUNTIFS($E$2:$E$20000,"&lt;&gt;WIP",$H$2:$H$20000,$H58)&gt;0,"Job already invoiced","")))</f>
        <v/>
      </c>
      <c r="Q58" s="16" t="n"/>
      <c r="R58" s="16" t="inlineStr">
        <is>
          <t>taniaa@ceoinstitute.com</t>
        </is>
      </c>
      <c r="S58" s="15" t="n">
        <v>46245</v>
      </c>
      <c r="T58" s="14" t="n">
        <v>26063002</v>
      </c>
      <c r="U58" s="14" t="n">
        <v>6084</v>
      </c>
      <c r="V58" s="14" t="inlineStr">
        <is>
          <t>Y</t>
        </is>
      </c>
      <c r="W58" s="14" t="inlineStr">
        <is>
          <t>Y</t>
        </is>
      </c>
      <c r="X58" s="14" t="n">
        <v>7</v>
      </c>
      <c r="Y58" s="14" t="n"/>
      <c r="Z58" s="14" t="n">
        <v>2</v>
      </c>
      <c r="AA58" s="14" t="n"/>
      <c r="AB58" s="14" t="n">
        <v>37</v>
      </c>
      <c r="AC58" s="17" t="n"/>
      <c r="AD58" s="17" t="n">
        <v>2104.4</v>
      </c>
      <c r="AE58" s="19">
        <f>IF($E58&lt;&gt;"Production","",IFERROR($AD58/$L58,""))</f>
        <v/>
      </c>
      <c r="AF58" s="17" t="n"/>
      <c r="AG58" s="17" t="n"/>
      <c r="AH58" s="16" t="n"/>
      <c r="AI58" s="17" t="n"/>
      <c r="AJ58" s="17" t="n"/>
      <c r="AK58" s="17" t="n"/>
      <c r="AL58" s="17" t="n"/>
      <c r="AM58" s="17" t="n"/>
      <c r="AN58" s="17" t="n"/>
    </row>
    <row r="59" ht="15" customHeight="1">
      <c r="A59" s="13">
        <f>IF(COUNTA($B59:$K59)=0,"",ROW()-1)</f>
        <v/>
      </c>
      <c r="B59" s="14" t="inlineStr">
        <is>
          <t>Invoice</t>
        </is>
      </c>
      <c r="C59" s="15" t="n">
        <v>46259</v>
      </c>
      <c r="D59" s="16" t="inlineStr">
        <is>
          <t>Production</t>
        </is>
      </c>
      <c r="E59" s="13">
        <f>IF($B59="","",IF($B59="WIP","WIP",IFERROR(INDEX(Lists!$G$4:$G$10,MATCH($D59,Lists!$F$4:$F$10,0)),"Unmapped")))</f>
        <v/>
      </c>
      <c r="F59" s="16" t="n"/>
      <c r="G59" s="16" t="inlineStr">
        <is>
          <t>PwC</t>
        </is>
      </c>
      <c r="H59" s="14" t="n">
        <v>26072903</v>
      </c>
      <c r="I59" s="16" t="inlineStr">
        <is>
          <t>GB Webcast 11.8.26</t>
        </is>
      </c>
      <c r="J59" s="14" t="inlineStr">
        <is>
          <t>INV-10577</t>
        </is>
      </c>
      <c r="K59" s="17" t="n">
        <v>4300</v>
      </c>
      <c r="L59" s="18">
        <f>IF($K59="","",IF($E59="Production",$K59-N($AD59),$K59))</f>
        <v/>
      </c>
      <c r="M59" s="18">
        <f>IF($E59="Production",IF($K59="","",$K59-(N($AF59)+N($AG59))),IF($E59="Consulting",IF($K59="","",$K59-(N($AL59)+N($AM59)+N($AN59))),""))</f>
        <v/>
      </c>
      <c r="N59" s="19">
        <f>IFERROR($M59/$K59,"")</f>
        <v/>
      </c>
      <c r="O59" s="13">
        <f>IF(COUNTA($B59:$K59)=0,"",IF($C59="","No date",IF(AND($C59&gt;=Lists!$B$3,$C59&lt;Lists!$B$4),"In FY27","Outside FY27")))</f>
        <v/>
      </c>
      <c r="P59" s="13">
        <f>IF($E59&lt;&gt;"WIP","",IF($H59="","",IF(COUNTIFS($E$2:$E$20000,"&lt;&gt;WIP",$H$2:$H$20000,$H59)&gt;0,"Job already invoiced","")))</f>
        <v/>
      </c>
      <c r="Q59" s="16" t="n"/>
      <c r="R59" s="16" t="inlineStr">
        <is>
          <t>libby.kovac@au.pwc.com</t>
        </is>
      </c>
      <c r="S59" s="15" t="n">
        <v>46245</v>
      </c>
      <c r="T59" s="14" t="n">
        <v>26072903</v>
      </c>
      <c r="U59" s="14" t="n">
        <v>6134</v>
      </c>
      <c r="V59" s="14" t="inlineStr">
        <is>
          <t>Y</t>
        </is>
      </c>
      <c r="W59" s="14" t="inlineStr">
        <is>
          <t>Y</t>
        </is>
      </c>
      <c r="X59" s="14" t="n">
        <v>9</v>
      </c>
      <c r="Y59" s="14" t="n"/>
      <c r="Z59" s="14" t="n"/>
      <c r="AA59" s="14" t="n"/>
      <c r="AB59" s="14" t="n">
        <v>9</v>
      </c>
      <c r="AC59" s="17" t="n">
        <v>3270</v>
      </c>
      <c r="AD59" s="17" t="n"/>
      <c r="AE59" s="19">
        <f>IF($E59&lt;&gt;"Production","",IFERROR($AD59/$L59,""))</f>
        <v/>
      </c>
      <c r="AF59" s="17" t="n">
        <v>1092.36</v>
      </c>
      <c r="AG59" s="17" t="n"/>
      <c r="AH59" s="16" t="n"/>
      <c r="AI59" s="17" t="n"/>
      <c r="AJ59" s="17" t="n"/>
      <c r="AK59" s="17" t="n"/>
      <c r="AL59" s="17" t="n"/>
      <c r="AM59" s="17" t="n"/>
      <c r="AN59" s="17" t="n"/>
    </row>
    <row r="60" ht="15" customHeight="1">
      <c r="A60" s="13">
        <f>IF(COUNTA($B60:$K60)=0,"",ROW()-1)</f>
        <v/>
      </c>
      <c r="B60" s="14" t="inlineStr">
        <is>
          <t>Invoice</t>
        </is>
      </c>
      <c r="C60" s="15" t="n">
        <v>46259</v>
      </c>
      <c r="D60" s="16" t="inlineStr">
        <is>
          <t>Production</t>
        </is>
      </c>
      <c r="E60" s="13">
        <f>IF($B60="","",IF($B60="WIP","WIP",IFERROR(INDEX(Lists!$G$4:$G$10,MATCH($D60,Lists!$F$4:$F$10,0)),"Unmapped")))</f>
        <v/>
      </c>
      <c r="F60" s="16" t="n"/>
      <c r="G60" s="16" t="inlineStr">
        <is>
          <t>MUFG</t>
        </is>
      </c>
      <c r="H60" s="14" t="n">
        <v>26061104</v>
      </c>
      <c r="I60" s="16" t="inlineStr">
        <is>
          <t>MUFG - Suncorp FYR</t>
        </is>
      </c>
      <c r="J60" s="14" t="inlineStr">
        <is>
          <t>INV - 10584
INV - 10585</t>
        </is>
      </c>
      <c r="K60" s="17" t="n">
        <v>28652.25</v>
      </c>
      <c r="L60" s="18">
        <f>IF($K60="","",IF($E60="Production",$K60-N($AD60),$K60))</f>
        <v/>
      </c>
      <c r="M60" s="18">
        <f>IF($E60="Production",IF($K60="","",$K60-(N($AF60)+N($AG60))),IF($E60="Consulting",IF($K60="","",$K60-(N($AL60)+N($AM60)+N($AN60))),""))</f>
        <v/>
      </c>
      <c r="N60" s="19">
        <f>IFERROR($M60/$K60,"")</f>
        <v/>
      </c>
      <c r="O60" s="13">
        <f>IF(COUNTA($B60:$K60)=0,"",IF($C60="","No date",IF(AND($C60&gt;=Lists!$B$3,$C60&lt;Lists!$B$4),"In FY27","Outside FY27")))</f>
        <v/>
      </c>
      <c r="P60" s="13">
        <f>IF($E60&lt;&gt;"WIP","",IF($H60="","",IF(COUNTIFS($E$2:$E$20000,"&lt;&gt;WIP",$H$2:$H$20000,$H60)&gt;0,"Job already invoiced","")))</f>
        <v/>
      </c>
      <c r="Q60" s="16" t="n"/>
      <c r="R60" s="16" t="inlineStr">
        <is>
          <t>events@cm.mpms.mufg.com</t>
        </is>
      </c>
      <c r="S60" s="15" t="n">
        <v>46246</v>
      </c>
      <c r="T60" s="14" t="n">
        <v>26061104</v>
      </c>
      <c r="U60" s="14" t="inlineStr">
        <is>
          <t>Proj: 0016</t>
        </is>
      </c>
      <c r="V60" s="14" t="inlineStr">
        <is>
          <t>Y</t>
        </is>
      </c>
      <c r="W60" s="14" t="inlineStr">
        <is>
          <t>Y</t>
        </is>
      </c>
      <c r="X60" s="14" t="n">
        <v>8</v>
      </c>
      <c r="Y60" s="14" t="n"/>
      <c r="Z60" s="14" t="n">
        <v>12</v>
      </c>
      <c r="AA60" s="14" t="n"/>
      <c r="AB60" s="14" t="n">
        <v>104</v>
      </c>
      <c r="AC60" s="17" t="n">
        <v>3017</v>
      </c>
      <c r="AD60" s="17" t="n">
        <v>5271.5</v>
      </c>
      <c r="AE60" s="19">
        <f>IF($E60&lt;&gt;"Production","",IFERROR($AD60/$L60,""))</f>
        <v/>
      </c>
      <c r="AF60" s="17" t="n">
        <v>980.16</v>
      </c>
      <c r="AG60" s="17" t="n"/>
      <c r="AH60" s="16" t="n"/>
      <c r="AI60" s="17" t="n"/>
      <c r="AJ60" s="17" t="n"/>
      <c r="AK60" s="17" t="n"/>
      <c r="AL60" s="17" t="n"/>
      <c r="AM60" s="17" t="n"/>
      <c r="AN60" s="17" t="n"/>
    </row>
    <row r="61" ht="15" customHeight="1">
      <c r="A61" s="13">
        <f>IF(COUNTA($B61:$K61)=0,"",ROW()-1)</f>
        <v/>
      </c>
      <c r="B61" s="14" t="inlineStr">
        <is>
          <t>Invoice</t>
        </is>
      </c>
      <c r="C61" s="15" t="n">
        <v>46247</v>
      </c>
      <c r="D61" s="16" t="inlineStr">
        <is>
          <t>Production</t>
        </is>
      </c>
      <c r="E61" s="13">
        <f>IF($B61="","",IF($B61="WIP","WIP",IFERROR(INDEX(Lists!$G$4:$G$10,MATCH($D61,Lists!$F$4:$F$10,0)),"Unmapped")))</f>
        <v/>
      </c>
      <c r="F61" s="16" t="n"/>
      <c r="G61" s="16" t="inlineStr">
        <is>
          <t xml:space="preserve">CBA </t>
        </is>
      </c>
      <c r="H61" s="14" t="n">
        <v>26061105</v>
      </c>
      <c r="I61" s="16" t="inlineStr">
        <is>
          <t>CBA FYR 2026 (Order PO3308779)</t>
        </is>
      </c>
      <c r="J61" s="14" t="n"/>
      <c r="K61" s="17" t="n">
        <v>12170</v>
      </c>
      <c r="L61" s="18">
        <f>IF($K61="","",IF($E61="Production",$K61-N($AD61),$K61))</f>
        <v/>
      </c>
      <c r="M61" s="18">
        <f>IF($E61="Production",IF($K61="","",$K61-(N($AF61)+N($AG61))),IF($E61="Consulting",IF($K61="","",$K61-(N($AL61)+N($AM61)+N($AN61))),""))</f>
        <v/>
      </c>
      <c r="N61" s="19">
        <f>IFERROR($M61/$K61,"")</f>
        <v/>
      </c>
      <c r="O61" s="13">
        <f>IF(COUNTA($B61:$K61)=0,"",IF($C61="","No date",IF(AND($C61&gt;=Lists!$B$3,$C61&lt;Lists!$B$4),"In FY27","Outside FY27")))</f>
        <v/>
      </c>
      <c r="P61" s="13">
        <f>IF($E61&lt;&gt;"WIP","",IF($H61="","",IF(COUNTIFS($E$2:$E$20000,"&lt;&gt;WIP",$H$2:$H$20000,$H61)&gt;0,"Job already invoiced","")))</f>
        <v/>
      </c>
      <c r="Q61" s="16" t="n"/>
      <c r="R61" s="16" t="inlineStr">
        <is>
          <t>Rebecca.Rodger@cba.com.au</t>
        </is>
      </c>
      <c r="S61" s="15" t="n">
        <v>46246</v>
      </c>
      <c r="T61" s="14" t="n">
        <v>26061105</v>
      </c>
      <c r="U61" s="14" t="n">
        <v>6093</v>
      </c>
      <c r="V61" s="14" t="inlineStr">
        <is>
          <t>Y</t>
        </is>
      </c>
      <c r="W61" s="14" t="inlineStr">
        <is>
          <t>Y</t>
        </is>
      </c>
      <c r="X61" s="14" t="n"/>
      <c r="Y61" s="14" t="n"/>
      <c r="Z61" s="14" t="n"/>
      <c r="AA61" s="14" t="n"/>
      <c r="AB61" s="14" t="n">
        <v>16</v>
      </c>
      <c r="AC61" s="17" t="n"/>
      <c r="AD61" s="17" t="n">
        <v>1680</v>
      </c>
      <c r="AE61" s="19">
        <f>IF($E61&lt;&gt;"Production","",IFERROR($AD61/$L61,""))</f>
        <v/>
      </c>
      <c r="AF61" s="17" t="n">
        <v>2436.2</v>
      </c>
      <c r="AG61" s="17" t="n"/>
      <c r="AH61" s="16" t="n"/>
      <c r="AI61" s="17" t="n"/>
      <c r="AJ61" s="17" t="n"/>
      <c r="AK61" s="17" t="n"/>
      <c r="AL61" s="17" t="n"/>
      <c r="AM61" s="17" t="n"/>
      <c r="AN61" s="17" t="n"/>
    </row>
    <row r="62" ht="15" customHeight="1">
      <c r="A62" s="13">
        <f>IF(COUNTA($B62:$K62)=0,"",ROW()-1)</f>
        <v/>
      </c>
      <c r="B62" s="14" t="inlineStr">
        <is>
          <t>Invoice</t>
        </is>
      </c>
      <c r="C62" s="15" t="n">
        <v>46255</v>
      </c>
      <c r="D62" s="16" t="inlineStr">
        <is>
          <t>Production</t>
        </is>
      </c>
      <c r="E62" s="13">
        <f>IF($B62="","",IF($B62="WIP","WIP",IFERROR(INDEX(Lists!$G$4:$G$10,MATCH($D62,Lists!$F$4:$F$10,0)),"Unmapped")))</f>
        <v/>
      </c>
      <c r="F62" s="16" t="n"/>
      <c r="G62" s="16" t="inlineStr">
        <is>
          <t>AGL</t>
        </is>
      </c>
      <c r="H62" s="14" t="n">
        <v>2605401</v>
      </c>
      <c r="I62" s="16" t="inlineStr">
        <is>
          <t>AGL FYR - Investor Briefing</t>
        </is>
      </c>
      <c r="J62" s="14" t="inlineStr">
        <is>
          <t>INV-10579</t>
        </is>
      </c>
      <c r="K62" s="17" t="n">
        <v>14271.5</v>
      </c>
      <c r="L62" s="18">
        <f>IF($K62="","",IF($E62="Production",$K62-N($AD62),$K62))</f>
        <v/>
      </c>
      <c r="M62" s="18">
        <f>IF($E62="Production",IF($K62="","",$K62-(N($AF62)+N($AG62))),IF($E62="Consulting",IF($K62="","",$K62-(N($AL62)+N($AM62)+N($AN62))),""))</f>
        <v/>
      </c>
      <c r="N62" s="19">
        <f>IFERROR($M62/$K62,"")</f>
        <v/>
      </c>
      <c r="O62" s="13">
        <f>IF(COUNTA($B62:$K62)=0,"",IF($C62="","No date",IF(AND($C62&gt;=Lists!$B$3,$C62&lt;Lists!$B$4),"In FY27","Outside FY27")))</f>
        <v/>
      </c>
      <c r="P62" s="13">
        <f>IF($E62&lt;&gt;"WIP","",IF($H62="","",IF(COUNTIFS($E$2:$E$20000,"&lt;&gt;WIP",$H$2:$H$20000,$H62)&gt;0,"Job already invoiced","")))</f>
        <v/>
      </c>
      <c r="Q62" s="16" t="n"/>
      <c r="R62" s="16" t="inlineStr">
        <is>
          <t>KDraisey@agl.com.au</t>
        </is>
      </c>
      <c r="S62" s="15" t="n">
        <v>46246</v>
      </c>
      <c r="T62" s="14" t="n">
        <v>2605401</v>
      </c>
      <c r="U62" s="14" t="inlineStr">
        <is>
          <t>Proj: 0019</t>
        </is>
      </c>
      <c r="V62" s="14" t="inlineStr">
        <is>
          <t>Y</t>
        </is>
      </c>
      <c r="W62" s="14" t="inlineStr">
        <is>
          <t>Y</t>
        </is>
      </c>
      <c r="X62" s="14" t="n"/>
      <c r="Y62" s="14" t="n">
        <v>8</v>
      </c>
      <c r="Z62" s="14" t="n"/>
      <c r="AA62" s="14" t="n"/>
      <c r="AB62" s="14" t="n">
        <v>18</v>
      </c>
      <c r="AC62" s="17" t="n">
        <v>1806</v>
      </c>
      <c r="AD62" s="17" t="n">
        <v>2351.5</v>
      </c>
      <c r="AE62" s="19">
        <f>IF($E62&lt;&gt;"Production","",IFERROR($AD62/$L62,""))</f>
        <v/>
      </c>
      <c r="AF62" s="17" t="n">
        <v>3520.25</v>
      </c>
      <c r="AG62" s="17" t="n"/>
      <c r="AH62" s="16" t="n"/>
      <c r="AI62" s="17" t="n"/>
      <c r="AJ62" s="17" t="n"/>
      <c r="AK62" s="17" t="n"/>
      <c r="AL62" s="17" t="n"/>
      <c r="AM62" s="17" t="n"/>
      <c r="AN62" s="17" t="n"/>
    </row>
    <row r="63" ht="15" customHeight="1">
      <c r="A63" s="13">
        <f>IF(COUNTA($B63:$K63)=0,"",ROW()-1)</f>
        <v/>
      </c>
      <c r="B63" s="14" t="inlineStr">
        <is>
          <t>Invoice</t>
        </is>
      </c>
      <c r="C63" s="15" t="n">
        <v>46255</v>
      </c>
      <c r="D63" s="16" t="inlineStr">
        <is>
          <t>Production</t>
        </is>
      </c>
      <c r="E63" s="13">
        <f>IF($B63="","",IF($B63="WIP","WIP",IFERROR(INDEX(Lists!$G$4:$G$10,MATCH($D63,Lists!$F$4:$F$10,0)),"Unmapped")))</f>
        <v/>
      </c>
      <c r="F63" s="16" t="n"/>
      <c r="G63" s="16" t="inlineStr">
        <is>
          <t>AGL</t>
        </is>
      </c>
      <c r="H63" s="14" t="n">
        <v>2605402</v>
      </c>
      <c r="I63" s="16" t="inlineStr">
        <is>
          <t xml:space="preserve">AGL FYR - Employee Town Hall </t>
        </is>
      </c>
      <c r="J63" s="14" t="inlineStr">
        <is>
          <t>INV-10578</t>
        </is>
      </c>
      <c r="K63" s="17" t="n">
        <v>7144.75</v>
      </c>
      <c r="L63" s="18">
        <f>IF($K63="","",IF($E63="Production",$K63-N($AD63),$K63))</f>
        <v/>
      </c>
      <c r="M63" s="18">
        <f>IF($E63="Production",IF($K63="","",$K63-(N($AF63)+N($AG63))),IF($E63="Consulting",IF($K63="","",$K63-(N($AL63)+N($AM63)+N($AN63))),""))</f>
        <v/>
      </c>
      <c r="N63" s="19">
        <f>IFERROR($M63/$K63,"")</f>
        <v/>
      </c>
      <c r="O63" s="13">
        <f>IF(COUNTA($B63:$K63)=0,"",IF($C63="","No date",IF(AND($C63&gt;=Lists!$B$3,$C63&lt;Lists!$B$4),"In FY27","Outside FY27")))</f>
        <v/>
      </c>
      <c r="P63" s="13">
        <f>IF($E63&lt;&gt;"WIP","",IF($H63="","",IF(COUNTIFS($E$2:$E$20000,"&lt;&gt;WIP",$H$2:$H$20000,$H63)&gt;0,"Job already invoiced","")))</f>
        <v/>
      </c>
      <c r="Q63" s="16" t="n"/>
      <c r="R63" s="16" t="inlineStr">
        <is>
          <t>KDraisey@agl.com.au</t>
        </is>
      </c>
      <c r="S63" s="15" t="n">
        <v>46246</v>
      </c>
      <c r="T63" s="14" t="n">
        <v>2605402</v>
      </c>
      <c r="U63" s="14" t="inlineStr">
        <is>
          <t>Proj: 0019</t>
        </is>
      </c>
      <c r="V63" s="14" t="inlineStr">
        <is>
          <t>Y</t>
        </is>
      </c>
      <c r="W63" s="14" t="inlineStr">
        <is>
          <t>Y</t>
        </is>
      </c>
      <c r="X63" s="14" t="n">
        <v>4</v>
      </c>
      <c r="Y63" s="14" t="n"/>
      <c r="Z63" s="14" t="n"/>
      <c r="AA63" s="14" t="n"/>
      <c r="AB63" s="14" t="n">
        <v>31</v>
      </c>
      <c r="AC63" s="17" t="n">
        <v>845.75</v>
      </c>
      <c r="AD63" s="17" t="n">
        <v>1309.25</v>
      </c>
      <c r="AE63" s="19">
        <f>IF($E63&lt;&gt;"Production","",IFERROR($AD63/$L63,""))</f>
        <v/>
      </c>
      <c r="AF63" s="17" t="n">
        <v>706.67</v>
      </c>
      <c r="AG63" s="17" t="n"/>
      <c r="AH63" s="16" t="n"/>
      <c r="AI63" s="17" t="n"/>
      <c r="AJ63" s="17" t="n"/>
      <c r="AK63" s="17" t="n"/>
      <c r="AL63" s="17" t="n"/>
      <c r="AM63" s="17" t="n"/>
      <c r="AN63" s="17" t="n"/>
    </row>
    <row r="64" ht="15" customHeight="1">
      <c r="A64" s="13">
        <f>IF(COUNTA($B64:$K64)=0,"",ROW()-1)</f>
        <v/>
      </c>
      <c r="B64" s="14" t="inlineStr">
        <is>
          <t>Invoice</t>
        </is>
      </c>
      <c r="C64" s="15" t="n">
        <v>46255</v>
      </c>
      <c r="D64" s="16" t="inlineStr">
        <is>
          <t>Production</t>
        </is>
      </c>
      <c r="E64" s="13">
        <f>IF($B64="","",IF($B64="WIP","WIP",IFERROR(INDEX(Lists!$G$4:$G$10,MATCH($D64,Lists!$F$4:$F$10,0)),"Unmapped")))</f>
        <v/>
      </c>
      <c r="F64" s="16" t="n"/>
      <c r="G64" s="16" t="inlineStr">
        <is>
          <t>ASX</t>
        </is>
      </c>
      <c r="H64" s="14" t="n">
        <v>2608604</v>
      </c>
      <c r="I64" s="16" t="inlineStr">
        <is>
          <t>ASX Employee Townhall 13.8.26</t>
        </is>
      </c>
      <c r="J64" s="14" t="inlineStr">
        <is>
          <t>INV-10599</t>
        </is>
      </c>
      <c r="K64" s="17" t="n">
        <v>1510</v>
      </c>
      <c r="L64" s="18">
        <f>IF($K64="","",IF($E64="Production",$K64-N($AD64),$K64))</f>
        <v/>
      </c>
      <c r="M64" s="18">
        <f>IF($E64="Production",IF($K64="","",$K64-(N($AF64)+N($AG64))),IF($E64="Consulting",IF($K64="","",$K64-(N($AL64)+N($AM64)+N($AN64))),""))</f>
        <v/>
      </c>
      <c r="N64" s="19">
        <f>IFERROR($M64/$K64,"")</f>
        <v/>
      </c>
      <c r="O64" s="13">
        <f>IF(COUNTA($B64:$K64)=0,"",IF($C64="","No date",IF(AND($C64&gt;=Lists!$B$3,$C64&lt;Lists!$B$4),"In FY27","Outside FY27")))</f>
        <v/>
      </c>
      <c r="P64" s="13">
        <f>IF($E64&lt;&gt;"WIP","",IF($H64="","",IF(COUNTIFS($E$2:$E$20000,"&lt;&gt;WIP",$H$2:$H$20000,$H64)&gt;0,"Job already invoiced","")))</f>
        <v/>
      </c>
      <c r="Q64" s="16" t="n"/>
      <c r="R64" s="16" t="inlineStr">
        <is>
          <t>Aimee.Kuipers@asx.com.au</t>
        </is>
      </c>
      <c r="S64" s="15" t="n">
        <v>46247</v>
      </c>
      <c r="T64" s="14" t="n">
        <v>2608604</v>
      </c>
      <c r="U64" s="14" t="n">
        <v>6138</v>
      </c>
      <c r="V64" s="14" t="inlineStr">
        <is>
          <t>Y</t>
        </is>
      </c>
      <c r="W64" s="14" t="inlineStr">
        <is>
          <t>Y</t>
        </is>
      </c>
      <c r="X64" s="14" t="n">
        <v>4</v>
      </c>
      <c r="Y64" s="14" t="n"/>
      <c r="Z64" s="14" t="n">
        <v>2</v>
      </c>
      <c r="AA64" s="14" t="n"/>
      <c r="AB64" s="14" t="n">
        <v>6</v>
      </c>
      <c r="AC64" s="17" t="n">
        <v>3357</v>
      </c>
      <c r="AD64" s="17" t="n">
        <v>25</v>
      </c>
      <c r="AE64" s="19">
        <f>IF($E64&lt;&gt;"Production","",IFERROR($AD64/$L64,""))</f>
        <v/>
      </c>
      <c r="AF64" s="17" t="n"/>
      <c r="AG64" s="17" t="n"/>
      <c r="AH64" s="16" t="n"/>
      <c r="AI64" s="17" t="n"/>
      <c r="AJ64" s="17" t="n"/>
      <c r="AK64" s="17" t="n"/>
      <c r="AL64" s="17" t="n"/>
      <c r="AM64" s="17" t="n"/>
      <c r="AN64" s="17" t="n"/>
    </row>
    <row r="65" ht="15" customHeight="1">
      <c r="A65" s="13">
        <f>IF(COUNTA($B65:$K65)=0,"",ROW()-1)</f>
        <v/>
      </c>
      <c r="B65" s="14" t="inlineStr">
        <is>
          <t>Invoice</t>
        </is>
      </c>
      <c r="C65" s="15" t="n"/>
      <c r="D65" s="16" t="inlineStr">
        <is>
          <t>Production</t>
        </is>
      </c>
      <c r="E65" s="13">
        <f>IF($B65="","",IF($B65="WIP","WIP",IFERROR(INDEX(Lists!$G$4:$G$10,MATCH($D65,Lists!$F$4:$F$10,0)),"Unmapped")))</f>
        <v/>
      </c>
      <c r="F65" s="16" t="n"/>
      <c r="G65" s="16" t="inlineStr">
        <is>
          <t>ASX</t>
        </is>
      </c>
      <c r="H65" s="14" t="n">
        <v>26052702</v>
      </c>
      <c r="I65" s="16" t="inlineStr">
        <is>
          <t>ASX FYR Briefing 13.8.26</t>
        </is>
      </c>
      <c r="J65" s="14" t="inlineStr">
        <is>
          <t>INV-10576</t>
        </is>
      </c>
      <c r="K65" s="17" t="n">
        <v>37579</v>
      </c>
      <c r="L65" s="18">
        <f>IF($K65="","",IF($E65="Production",$K65-N($AD65),$K65))</f>
        <v/>
      </c>
      <c r="M65" s="18">
        <f>IF($E65="Production",IF($K65="","",$K65-(N($AF65)+N($AG65))),IF($E65="Consulting",IF($K65="","",$K65-(N($AL65)+N($AM65)+N($AN65))),""))</f>
        <v/>
      </c>
      <c r="N65" s="19">
        <f>IFERROR($M65/$K65,"")</f>
        <v/>
      </c>
      <c r="O65" s="13">
        <f>IF(COUNTA($B65:$K65)=0,"",IF($C65="","No date",IF(AND($C65&gt;=Lists!$B$3,$C65&lt;Lists!$B$4),"In FY27","Outside FY27")))</f>
        <v/>
      </c>
      <c r="P65" s="13">
        <f>IF($E65&lt;&gt;"WIP","",IF($H65="","",IF(COUNTIFS($E$2:$E$20000,"&lt;&gt;WIP",$H$2:$H$20000,$H65)&gt;0,"Job already invoiced","")))</f>
        <v/>
      </c>
      <c r="Q65" s="16" t="n"/>
      <c r="R65" s="16" t="inlineStr">
        <is>
          <t>simon.starr@asx.com.au</t>
        </is>
      </c>
      <c r="S65" s="15" t="n">
        <v>46247</v>
      </c>
      <c r="T65" s="14" t="n">
        <v>26052702</v>
      </c>
      <c r="U65" s="14" t="n">
        <v>6045</v>
      </c>
      <c r="V65" s="14" t="inlineStr">
        <is>
          <t>Y</t>
        </is>
      </c>
      <c r="W65" s="14" t="inlineStr">
        <is>
          <t>Y</t>
        </is>
      </c>
      <c r="X65" s="14" t="n"/>
      <c r="Y65" s="14" t="n"/>
      <c r="Z65" s="14" t="n">
        <v>6</v>
      </c>
      <c r="AA65" s="14" t="n"/>
      <c r="AB65" s="14" t="n">
        <v>78</v>
      </c>
      <c r="AC65" s="17" t="n"/>
      <c r="AD65" s="17" t="n">
        <v>2181</v>
      </c>
      <c r="AE65" s="19">
        <f>IF($E65&lt;&gt;"Production","",IFERROR($AD65/$L65,""))</f>
        <v/>
      </c>
      <c r="AF65" s="17" t="n">
        <v>5005.78</v>
      </c>
      <c r="AG65" s="17" t="n"/>
      <c r="AH65" s="16" t="n"/>
      <c r="AI65" s="17" t="n"/>
      <c r="AJ65" s="17" t="n"/>
      <c r="AK65" s="17" t="n"/>
      <c r="AL65" s="17" t="n"/>
      <c r="AM65" s="17" t="n"/>
      <c r="AN65" s="17" t="n"/>
    </row>
    <row r="66" ht="15" customHeight="1">
      <c r="A66" s="13">
        <f>IF(COUNTA($B66:$K66)=0,"",ROW()-1)</f>
        <v/>
      </c>
      <c r="B66" s="14" t="inlineStr">
        <is>
          <t>Invoice</t>
        </is>
      </c>
      <c r="C66" s="15" t="n"/>
      <c r="D66" s="16" t="inlineStr">
        <is>
          <t>Video</t>
        </is>
      </c>
      <c r="E66" s="13">
        <f>IF($B66="","",IF($B66="WIP","WIP",IFERROR(INDEX(Lists!$G$4:$G$10,MATCH($D66,Lists!$F$4:$F$10,0)),"Unmapped")))</f>
        <v/>
      </c>
      <c r="F66" s="16" t="n"/>
      <c r="G66" s="16" t="inlineStr">
        <is>
          <t>ASX</t>
        </is>
      </c>
      <c r="H66" s="14" t="n">
        <v>26072906</v>
      </c>
      <c r="I66" s="16" t="inlineStr">
        <is>
          <t>ASX Advisory Group on Corporate Governance</t>
        </is>
      </c>
      <c r="J66" s="14" t="n"/>
      <c r="K66" s="17" t="n">
        <v>4601.7</v>
      </c>
      <c r="L66" s="18">
        <f>IF($K66="","",IF($E66="Production",$K66-N($AD66),$K66))</f>
        <v/>
      </c>
      <c r="M66" s="18">
        <f>IF($E66="Production",IF($K66="","",$K66-(N($AF66)+N($AG66))),IF($E66="Consulting",IF($K66="","",$K66-(N($AL66)+N($AM66)+N($AN66))),""))</f>
        <v/>
      </c>
      <c r="N66" s="19">
        <f>IFERROR($M66/$K66,"")</f>
        <v/>
      </c>
      <c r="O66" s="13">
        <f>IF(COUNTA($B66:$K66)=0,"",IF($C66="","No date",IF(AND($C66&gt;=Lists!$B$3,$C66&lt;Lists!$B$4),"In FY27","Outside FY27")))</f>
        <v/>
      </c>
      <c r="P66" s="13">
        <f>IF($E66&lt;&gt;"WIP","",IF($H66="","",IF(COUNTIFS($E$2:$E$20000,"&lt;&gt;WIP",$H$2:$H$20000,$H66)&gt;0,"Job already invoiced","")))</f>
        <v/>
      </c>
      <c r="Q66" s="16" t="n"/>
      <c r="R66" s="16" t="inlineStr">
        <is>
          <t>vicky.duan@asx.com.au</t>
        </is>
      </c>
      <c r="S66" s="15" t="n">
        <v>46252</v>
      </c>
      <c r="T66" s="14" t="n">
        <v>26072906</v>
      </c>
      <c r="U66" s="14" t="n">
        <v>6130</v>
      </c>
      <c r="V66" s="14" t="inlineStr">
        <is>
          <t>Y</t>
        </is>
      </c>
      <c r="W66" s="14" t="inlineStr">
        <is>
          <t>Y</t>
        </is>
      </c>
      <c r="X66" s="14" t="n">
        <v>8</v>
      </c>
      <c r="Y66" s="14" t="n">
        <v>8</v>
      </c>
      <c r="Z66" s="14" t="n"/>
      <c r="AA66" s="14" t="n"/>
      <c r="AB66" s="14" t="n">
        <v>8</v>
      </c>
      <c r="AC66" s="17" t="n">
        <v>4221.7</v>
      </c>
      <c r="AD66" s="17" t="n">
        <v>148.8</v>
      </c>
      <c r="AE66" s="19">
        <f>IF($E66&lt;&gt;"Production","",IFERROR($AD66/$L66,""))</f>
        <v/>
      </c>
      <c r="AF66" s="17" t="n"/>
      <c r="AG66" s="17" t="n"/>
      <c r="AH66" s="16" t="n"/>
      <c r="AI66" s="17" t="n"/>
      <c r="AJ66" s="17" t="n"/>
      <c r="AK66" s="17" t="n"/>
      <c r="AL66" s="17" t="n"/>
      <c r="AM66" s="17" t="n"/>
      <c r="AN66" s="17" t="n"/>
    </row>
    <row r="67" ht="15" customHeight="1">
      <c r="A67" s="13">
        <f>IF(COUNTA($B67:$K67)=0,"",ROW()-1)</f>
        <v/>
      </c>
      <c r="B67" s="14" t="inlineStr">
        <is>
          <t>Invoice</t>
        </is>
      </c>
      <c r="C67" s="15" t="n"/>
      <c r="D67" s="16" t="inlineStr">
        <is>
          <t>Production</t>
        </is>
      </c>
      <c r="E67" s="13">
        <f>IF($B67="","",IF($B67="WIP","WIP",IFERROR(INDEX(Lists!$G$4:$G$10,MATCH($D67,Lists!$F$4:$F$10,0)),"Unmapped")))</f>
        <v/>
      </c>
      <c r="F67" s="16" t="n"/>
      <c r="G67" s="16" t="inlineStr">
        <is>
          <t>Cochlear</t>
        </is>
      </c>
      <c r="H67" s="14" t="n">
        <v>2603104</v>
      </c>
      <c r="I67" s="16" t="inlineStr">
        <is>
          <t>Cochlear FY26 Results 18.8.26</t>
        </is>
      </c>
      <c r="J67" s="14" t="inlineStr">
        <is>
          <t>INV-10590</t>
        </is>
      </c>
      <c r="K67" s="17" t="n">
        <v>10540.5</v>
      </c>
      <c r="L67" s="18">
        <f>IF($K67="","",IF($E67="Production",$K67-N($AD67),$K67))</f>
        <v/>
      </c>
      <c r="M67" s="18">
        <f>IF($E67="Production",IF($K67="","",$K67-(N($AF67)+N($AG67))),IF($E67="Consulting",IF($K67="","",$K67-(N($AL67)+N($AM67)+N($AN67))),""))</f>
        <v/>
      </c>
      <c r="N67" s="19">
        <f>IFERROR($M67/$K67,"")</f>
        <v/>
      </c>
      <c r="O67" s="13">
        <f>IF(COUNTA($B67:$K67)=0,"",IF($C67="","No date",IF(AND($C67&gt;=Lists!$B$3,$C67&lt;Lists!$B$4),"In FY27","Outside FY27")))</f>
        <v/>
      </c>
      <c r="P67" s="13">
        <f>IF($E67&lt;&gt;"WIP","",IF($H67="","",IF(COUNTIFS($E$2:$E$20000,"&lt;&gt;WIP",$H$2:$H$20000,$H67)&gt;0,"Job already invoiced","")))</f>
        <v/>
      </c>
      <c r="Q67" s="16" t="n"/>
      <c r="R67" s="16" t="inlineStr">
        <is>
          <t>jbarrish@cochlear.com</t>
        </is>
      </c>
      <c r="S67" s="15" t="n">
        <v>46252</v>
      </c>
      <c r="T67" s="14" t="n">
        <v>2603104</v>
      </c>
      <c r="U67" s="14" t="n">
        <v>6091</v>
      </c>
      <c r="V67" s="14" t="inlineStr">
        <is>
          <t>Y</t>
        </is>
      </c>
      <c r="W67" s="14" t="inlineStr">
        <is>
          <t>Y</t>
        </is>
      </c>
      <c r="X67" s="14" t="n">
        <v>8</v>
      </c>
      <c r="Y67" s="14" t="n"/>
      <c r="Z67" s="14" t="n"/>
      <c r="AA67" s="14" t="n"/>
      <c r="AB67" s="14" t="n">
        <v>18</v>
      </c>
      <c r="AC67" s="17" t="n"/>
      <c r="AD67" s="17" t="n">
        <v>2984.5</v>
      </c>
      <c r="AE67" s="19">
        <f>IF($E67&lt;&gt;"Production","",IFERROR($AD67/$L67,""))</f>
        <v/>
      </c>
      <c r="AF67" s="17" t="n">
        <v>2166.76</v>
      </c>
      <c r="AG67" s="17" t="n"/>
      <c r="AH67" s="16" t="n"/>
      <c r="AI67" s="17" t="n"/>
      <c r="AJ67" s="17" t="n"/>
      <c r="AK67" s="17" t="n"/>
      <c r="AL67" s="17" t="n"/>
      <c r="AM67" s="17" t="n"/>
      <c r="AN67" s="17" t="n"/>
    </row>
    <row r="68" ht="15" customHeight="1">
      <c r="A68" s="13">
        <f>IF(COUNTA($B68:$K68)=0,"",ROW()-1)</f>
        <v/>
      </c>
      <c r="B68" s="14" t="inlineStr">
        <is>
          <t>Invoice</t>
        </is>
      </c>
      <c r="C68" s="15" t="n"/>
      <c r="D68" s="16" t="inlineStr">
        <is>
          <t>Production</t>
        </is>
      </c>
      <c r="E68" s="13">
        <f>IF($B68="","",IF($B68="WIP","WIP",IFERROR(INDEX(Lists!$G$4:$G$10,MATCH($D68,Lists!$F$4:$F$10,0)),"Unmapped")))</f>
        <v/>
      </c>
      <c r="F68" s="16" t="n"/>
      <c r="G68" s="16" t="inlineStr">
        <is>
          <t>ON24</t>
        </is>
      </c>
      <c r="H68" s="14" t="n">
        <v>26072802</v>
      </c>
      <c r="I68" s="16" t="inlineStr">
        <is>
          <t>KWM Sydney Event 18.8.26 (PO25962)</t>
        </is>
      </c>
      <c r="J68" s="14" t="inlineStr">
        <is>
          <t>INV-10589</t>
        </is>
      </c>
      <c r="K68" s="17" t="n">
        <v>2732.5</v>
      </c>
      <c r="L68" s="18">
        <f>IF($K68="","",IF($E68="Production",$K68-N($AD68),$K68))</f>
        <v/>
      </c>
      <c r="M68" s="18">
        <f>IF($E68="Production",IF($K68="","",$K68-(N($AF68)+N($AG68))),IF($E68="Consulting",IF($K68="","",$K68-(N($AL68)+N($AM68)+N($AN68))),""))</f>
        <v/>
      </c>
      <c r="N68" s="19">
        <f>IFERROR($M68/$K68,"")</f>
        <v/>
      </c>
      <c r="O68" s="13">
        <f>IF(COUNTA($B68:$K68)=0,"",IF($C68="","No date",IF(AND($C68&gt;=Lists!$B$3,$C68&lt;Lists!$B$4),"In FY27","Outside FY27")))</f>
        <v/>
      </c>
      <c r="P68" s="13">
        <f>IF($E68&lt;&gt;"WIP","",IF($H68="","",IF(COUNTIFS($E$2:$E$20000,"&lt;&gt;WIP",$H$2:$H$20000,$H68)&gt;0,"Job already invoiced","")))</f>
        <v/>
      </c>
      <c r="Q68" s="16" t="n"/>
      <c r="R68" s="16" t="inlineStr">
        <is>
          <t>lisa.caraccio@on24.com</t>
        </is>
      </c>
      <c r="S68" s="15" t="n">
        <v>46252</v>
      </c>
      <c r="T68" s="14" t="n">
        <v>26072802</v>
      </c>
      <c r="U68" s="14" t="n">
        <v>6131</v>
      </c>
      <c r="V68" s="14" t="inlineStr">
        <is>
          <t>Y</t>
        </is>
      </c>
      <c r="W68" s="14" t="inlineStr">
        <is>
          <t>Y</t>
        </is>
      </c>
      <c r="X68" s="14" t="n"/>
      <c r="Y68" s="14" t="n"/>
      <c r="Z68" s="14" t="n"/>
      <c r="AA68" s="14" t="n"/>
      <c r="AB68" s="14" t="n">
        <v>6.5</v>
      </c>
      <c r="AC68" s="17" t="n"/>
      <c r="AD68" s="17" t="n">
        <v>95</v>
      </c>
      <c r="AE68" s="19">
        <f>IF($E68&lt;&gt;"Production","",IFERROR($AD68/$L68,""))</f>
        <v/>
      </c>
      <c r="AF68" s="17" t="n"/>
      <c r="AG68" s="17" t="n"/>
      <c r="AH68" s="16" t="n"/>
      <c r="AI68" s="17" t="n"/>
      <c r="AJ68" s="17" t="n"/>
      <c r="AK68" s="17" t="n"/>
      <c r="AL68" s="17" t="n"/>
      <c r="AM68" s="17" t="n"/>
      <c r="AN68" s="17" t="n"/>
    </row>
    <row r="69" ht="15" customHeight="1">
      <c r="A69" s="13">
        <f>IF(COUNTA($B69:$K69)=0,"",ROW()-1)</f>
        <v/>
      </c>
      <c r="B69" s="14" t="inlineStr">
        <is>
          <t>Invoice</t>
        </is>
      </c>
      <c r="C69" s="15" t="n"/>
      <c r="D69" s="16" t="inlineStr">
        <is>
          <t>Production</t>
        </is>
      </c>
      <c r="E69" s="13">
        <f>IF($B69="","",IF($B69="WIP","WIP",IFERROR(INDEX(Lists!$G$4:$G$10,MATCH($D69,Lists!$F$4:$F$10,0)),"Unmapped")))</f>
        <v/>
      </c>
      <c r="F69" s="16" t="n"/>
      <c r="G69" s="16" t="inlineStr">
        <is>
          <t>Dimensional</t>
        </is>
      </c>
      <c r="H69" s="14" t="n">
        <v>26081402</v>
      </c>
      <c r="I69" s="16" t="inlineStr">
        <is>
          <t>AV Support 19.8.26</t>
        </is>
      </c>
      <c r="J69" s="14" t="inlineStr">
        <is>
          <t>INV-10588</t>
        </is>
      </c>
      <c r="K69" s="17" t="n">
        <v>460</v>
      </c>
      <c r="L69" s="18">
        <f>IF($K69="","",IF($E69="Production",$K69-N($AD69),$K69))</f>
        <v/>
      </c>
      <c r="M69" s="18">
        <f>IF($E69="Production",IF($K69="","",$K69-(N($AF69)+N($AG69))),IF($E69="Consulting",IF($K69="","",$K69-(N($AL69)+N($AM69)+N($AN69))),""))</f>
        <v/>
      </c>
      <c r="N69" s="19">
        <f>IFERROR($M69/$K69,"")</f>
        <v/>
      </c>
      <c r="O69" s="13">
        <f>IF(COUNTA($B69:$K69)=0,"",IF($C69="","No date",IF(AND($C69&gt;=Lists!$B$3,$C69&lt;Lists!$B$4),"In FY27","Outside FY27")))</f>
        <v/>
      </c>
      <c r="P69" s="13">
        <f>IF($E69&lt;&gt;"WIP","",IF($H69="","",IF(COUNTIFS($E$2:$E$20000,"&lt;&gt;WIP",$H$2:$H$20000,$H69)&gt;0,"Job already invoiced","")))</f>
        <v/>
      </c>
      <c r="Q69" s="16" t="n"/>
      <c r="R69" s="16" t="inlineStr">
        <is>
          <t>Mahan.Noori@dimensional.com.au</t>
        </is>
      </c>
      <c r="S69" s="15" t="n">
        <v>46253</v>
      </c>
      <c r="T69" s="14" t="n">
        <v>26081402</v>
      </c>
      <c r="U69" s="14" t="n">
        <v>6153</v>
      </c>
      <c r="V69" s="14" t="inlineStr">
        <is>
          <t>Y</t>
        </is>
      </c>
      <c r="W69" s="14" t="inlineStr">
        <is>
          <t>Y</t>
        </is>
      </c>
      <c r="X69" s="14" t="n"/>
      <c r="Y69" s="14" t="n"/>
      <c r="Z69" s="14" t="n"/>
      <c r="AA69" s="14" t="n"/>
      <c r="AB69" s="14" t="n">
        <v>4</v>
      </c>
      <c r="AC69" s="17" t="n"/>
      <c r="AD69" s="17" t="n"/>
      <c r="AE69" s="19">
        <f>IF($E69&lt;&gt;"Production","",IFERROR($AD69/$L69,""))</f>
        <v/>
      </c>
      <c r="AF69" s="17" t="n"/>
      <c r="AG69" s="17" t="n"/>
      <c r="AH69" s="16" t="n"/>
      <c r="AI69" s="17" t="n"/>
      <c r="AJ69" s="17" t="n"/>
      <c r="AK69" s="17" t="n"/>
      <c r="AL69" s="17" t="n"/>
      <c r="AM69" s="17" t="n"/>
      <c r="AN69" s="17" t="n"/>
    </row>
    <row r="70" ht="15" customHeight="1">
      <c r="A70" s="13">
        <f>IF(COUNTA($B70:$K70)=0,"",ROW()-1)</f>
        <v/>
      </c>
      <c r="B70" s="14" t="inlineStr">
        <is>
          <t>Invoice</t>
        </is>
      </c>
      <c r="C70" s="15" t="n">
        <v>46259</v>
      </c>
      <c r="D70" s="16" t="inlineStr">
        <is>
          <t>Production</t>
        </is>
      </c>
      <c r="E70" s="13">
        <f>IF($B70="","",IF($B70="WIP","WIP",IFERROR(INDEX(Lists!$G$4:$G$10,MATCH($D70,Lists!$F$4:$F$10,0)),"Unmapped")))</f>
        <v/>
      </c>
      <c r="F70" s="16" t="n"/>
      <c r="G70" s="16" t="inlineStr">
        <is>
          <t>TLC -  Melbourne</t>
        </is>
      </c>
      <c r="H70" s="14" t="n">
        <v>26061106</v>
      </c>
      <c r="I70" s="16" t="inlineStr">
        <is>
          <t>TLC Full Year Results</t>
        </is>
      </c>
      <c r="J70" s="14" t="inlineStr">
        <is>
          <t>INV-10591</t>
        </is>
      </c>
      <c r="K70" s="17" t="n">
        <v>13661</v>
      </c>
      <c r="L70" s="18">
        <f>IF($K70="","",IF($E70="Production",$K70-N($AD70),$K70))</f>
        <v/>
      </c>
      <c r="M70" s="18">
        <f>IF($E70="Production",IF($K70="","",$K70-(N($AF70)+N($AG70))),IF($E70="Consulting",IF($K70="","",$K70-(N($AL70)+N($AM70)+N($AN70))),""))</f>
        <v/>
      </c>
      <c r="N70" s="19">
        <f>IFERROR($M70/$K70,"")</f>
        <v/>
      </c>
      <c r="O70" s="13">
        <f>IF(COUNTA($B70:$K70)=0,"",IF($C70="","No date",IF(AND($C70&gt;=Lists!$B$3,$C70&lt;Lists!$B$4),"In FY27","Outside FY27")))</f>
        <v/>
      </c>
      <c r="P70" s="13">
        <f>IF($E70&lt;&gt;"WIP","",IF($H70="","",IF(COUNTIFS($E$2:$E$20000,"&lt;&gt;WIP",$H$2:$H$20000,$H70)&gt;0,"Job already invoiced","")))</f>
        <v/>
      </c>
      <c r="Q70" s="16" t="n"/>
      <c r="R70" s="16" t="inlineStr">
        <is>
          <t>sharne.flanagan@thelotterycorporation.com</t>
        </is>
      </c>
      <c r="S70" s="15" t="n">
        <v>46253</v>
      </c>
      <c r="T70" s="14" t="n">
        <v>26061106</v>
      </c>
      <c r="U70" s="14" t="n">
        <v>5853</v>
      </c>
      <c r="V70" s="14" t="inlineStr">
        <is>
          <t>Y</t>
        </is>
      </c>
      <c r="W70" s="14" t="inlineStr">
        <is>
          <t>Y</t>
        </is>
      </c>
      <c r="X70" s="14" t="n"/>
      <c r="Y70" s="14" t="n">
        <v>4</v>
      </c>
      <c r="Z70" s="14" t="n">
        <v>2</v>
      </c>
      <c r="AA70" s="14" t="n"/>
      <c r="AB70" s="14" t="n">
        <v>25</v>
      </c>
      <c r="AC70" s="17" t="n">
        <v>674</v>
      </c>
      <c r="AD70" s="17" t="n">
        <v>611.5</v>
      </c>
      <c r="AE70" s="19">
        <f>IF($E70&lt;&gt;"Production","",IFERROR($AD70/$L70,""))</f>
        <v/>
      </c>
      <c r="AF70" s="17" t="n">
        <v>4272.26</v>
      </c>
      <c r="AG70" s="17" t="n"/>
      <c r="AH70" s="16" t="n"/>
      <c r="AI70" s="17" t="n"/>
      <c r="AJ70" s="17" t="n"/>
      <c r="AK70" s="17" t="n"/>
      <c r="AL70" s="17" t="n"/>
      <c r="AM70" s="17" t="n"/>
      <c r="AN70" s="17" t="n"/>
    </row>
    <row r="71" ht="15" customHeight="1">
      <c r="A71" s="13">
        <f>IF(COUNTA($B71:$K71)=0,"",ROW()-1)</f>
        <v/>
      </c>
      <c r="B71" s="14" t="inlineStr">
        <is>
          <t>Invoice</t>
        </is>
      </c>
      <c r="C71" s="15" t="n"/>
      <c r="D71" s="16" t="inlineStr">
        <is>
          <t>Production</t>
        </is>
      </c>
      <c r="E71" s="13">
        <f>IF($B71="","",IF($B71="WIP","WIP",IFERROR(INDEX(Lists!$G$4:$G$10,MATCH($D71,Lists!$F$4:$F$10,0)),"Unmapped")))</f>
        <v/>
      </c>
      <c r="F71" s="16" t="n"/>
      <c r="G71" s="16" t="inlineStr">
        <is>
          <t>Downer</t>
        </is>
      </c>
      <c r="H71" s="14" t="n">
        <v>26061107</v>
      </c>
      <c r="I71" s="16" t="inlineStr">
        <is>
          <t>Downer FYR26 20.8.26</t>
        </is>
      </c>
      <c r="J71" s="14" t="inlineStr">
        <is>
          <t>INV-10587</t>
        </is>
      </c>
      <c r="K71" s="17" t="n">
        <v>11644.25</v>
      </c>
      <c r="L71" s="18">
        <f>IF($K71="","",IF($E71="Production",$K71-N($AD71),$K71))</f>
        <v/>
      </c>
      <c r="M71" s="18">
        <f>IF($E71="Production",IF($K71="","",$K71-(N($AF71)+N($AG71))),IF($E71="Consulting",IF($K71="","",$K71-(N($AL71)+N($AM71)+N($AN71))),""))</f>
        <v/>
      </c>
      <c r="N71" s="19">
        <f>IFERROR($M71/$K71,"")</f>
        <v/>
      </c>
      <c r="O71" s="13">
        <f>IF(COUNTA($B71:$K71)=0,"",IF($C71="","No date",IF(AND($C71&gt;=Lists!$B$3,$C71&lt;Lists!$B$4),"In FY27","Outside FY27")))</f>
        <v/>
      </c>
      <c r="P71" s="13">
        <f>IF($E71&lt;&gt;"WIP","",IF($H71="","",IF(COUNTIFS($E$2:$E$20000,"&lt;&gt;WIP",$H$2:$H$20000,$H71)&gt;0,"Job already invoiced","")))</f>
        <v/>
      </c>
      <c r="Q71" s="16" t="n"/>
      <c r="R71" s="16" t="inlineStr">
        <is>
          <t>mitchell.dale@downergroup.com</t>
        </is>
      </c>
      <c r="S71" s="15" t="n">
        <v>46254</v>
      </c>
      <c r="T71" s="14" t="n">
        <v>26061107</v>
      </c>
      <c r="U71" s="14" t="n">
        <v>6092</v>
      </c>
      <c r="V71" s="14" t="inlineStr">
        <is>
          <t>Y</t>
        </is>
      </c>
      <c r="W71" s="14" t="inlineStr">
        <is>
          <t>Y</t>
        </is>
      </c>
      <c r="X71" s="14" t="n"/>
      <c r="Y71" s="14" t="n"/>
      <c r="Z71" s="14" t="n">
        <v>3</v>
      </c>
      <c r="AA71" s="14" t="n"/>
      <c r="AB71" s="14" t="n">
        <v>18</v>
      </c>
      <c r="AC71" s="17" t="n">
        <v>263.5</v>
      </c>
      <c r="AD71" s="17" t="n">
        <v>885.75</v>
      </c>
      <c r="AE71" s="19">
        <f>IF($E71&lt;&gt;"Production","",IFERROR($AD71/$L71,""))</f>
        <v/>
      </c>
      <c r="AF71" s="17" t="n">
        <v>1221.04</v>
      </c>
      <c r="AG71" s="17" t="n"/>
      <c r="AH71" s="16" t="n"/>
      <c r="AI71" s="17" t="n"/>
      <c r="AJ71" s="17" t="n"/>
      <c r="AK71" s="17" t="n"/>
      <c r="AL71" s="17" t="n"/>
      <c r="AM71" s="17" t="n"/>
      <c r="AN71" s="17" t="n"/>
    </row>
    <row r="72" ht="15" customHeight="1">
      <c r="A72" s="13">
        <f>IF(COUNTA($B72:$K72)=0,"",ROW()-1)</f>
        <v/>
      </c>
      <c r="B72" s="14" t="inlineStr">
        <is>
          <t>Invoice</t>
        </is>
      </c>
      <c r="C72" s="15" t="n"/>
      <c r="D72" s="16" t="inlineStr">
        <is>
          <t>Production</t>
        </is>
      </c>
      <c r="E72" s="13">
        <f>IF($B72="","",IF($B72="WIP","WIP",IFERROR(INDEX(Lists!$G$4:$G$10,MATCH($D72,Lists!$F$4:$F$10,0)),"Unmapped")))</f>
        <v/>
      </c>
      <c r="F72" s="16" t="n"/>
      <c r="G72" s="16" t="inlineStr">
        <is>
          <t>Garvan</t>
        </is>
      </c>
      <c r="H72" s="14" t="n">
        <v>26073110</v>
      </c>
      <c r="I72" s="16" t="inlineStr">
        <is>
          <t>Garvan - Weizmann Dinner Event</t>
        </is>
      </c>
      <c r="J72" s="14" t="inlineStr">
        <is>
          <t>INV-10586</t>
        </is>
      </c>
      <c r="K72" s="17" t="n">
        <v>1055</v>
      </c>
      <c r="L72" s="18">
        <f>IF($K72="","",IF($E72="Production",$K72-N($AD72),$K72))</f>
        <v/>
      </c>
      <c r="M72" s="18">
        <f>IF($E72="Production",IF($K72="","",$K72-(N($AF72)+N($AG72))),IF($E72="Consulting",IF($K72="","",$K72-(N($AL72)+N($AM72)+N($AN72))),""))</f>
        <v/>
      </c>
      <c r="N72" s="19">
        <f>IFERROR($M72/$K72,"")</f>
        <v/>
      </c>
      <c r="O72" s="13">
        <f>IF(COUNTA($B72:$K72)=0,"",IF($C72="","No date",IF(AND($C72&gt;=Lists!$B$3,$C72&lt;Lists!$B$4),"In FY27","Outside FY27")))</f>
        <v/>
      </c>
      <c r="P72" s="13">
        <f>IF($E72&lt;&gt;"WIP","",IF($H72="","",IF(COUNTIFS($E$2:$E$20000,"&lt;&gt;WIP",$H$2:$H$20000,$H72)&gt;0,"Job already invoiced","")))</f>
        <v/>
      </c>
      <c r="Q72" s="16" t="n"/>
      <c r="R72" s="16" t="inlineStr">
        <is>
          <t>m.gonzalezhuerta@garvan.org.au</t>
        </is>
      </c>
      <c r="S72" s="15" t="n">
        <v>46254</v>
      </c>
      <c r="T72" s="14" t="n">
        <v>26073110</v>
      </c>
      <c r="U72" s="14" t="n">
        <v>6117</v>
      </c>
      <c r="V72" s="14" t="inlineStr">
        <is>
          <t>Y</t>
        </is>
      </c>
      <c r="W72" s="14" t="inlineStr">
        <is>
          <t>Y</t>
        </is>
      </c>
      <c r="X72" s="14" t="n"/>
      <c r="Y72" s="14" t="n"/>
      <c r="Z72" s="14" t="n">
        <v>1</v>
      </c>
      <c r="AA72" s="14" t="n"/>
      <c r="AB72" s="14" t="n">
        <v>8</v>
      </c>
      <c r="AC72" s="17" t="n"/>
      <c r="AD72" s="17" t="n"/>
      <c r="AE72" s="19">
        <f>IF($E72&lt;&gt;"Production","",IFERROR($AD72/$L72,""))</f>
        <v/>
      </c>
      <c r="AF72" s="17" t="n"/>
      <c r="AG72" s="17" t="n"/>
      <c r="AH72" s="16" t="n"/>
      <c r="AI72" s="17" t="n"/>
      <c r="AJ72" s="17" t="n"/>
      <c r="AK72" s="17" t="n"/>
      <c r="AL72" s="17" t="n"/>
      <c r="AM72" s="17" t="n"/>
      <c r="AN72" s="17" t="n"/>
    </row>
    <row r="73" ht="15" customHeight="1">
      <c r="A73" s="13">
        <f>IF(COUNTA($B73:$K73)=0,"",ROW()-1)</f>
        <v/>
      </c>
      <c r="B73" s="14" t="inlineStr">
        <is>
          <t>Invoice</t>
        </is>
      </c>
      <c r="C73" s="15" t="n"/>
      <c r="D73" s="16" t="inlineStr">
        <is>
          <t>Production</t>
        </is>
      </c>
      <c r="E73" s="13">
        <f>IF($B73="","",IF($B73="WIP","WIP",IFERROR(INDEX(Lists!$G$4:$G$10,MATCH($D73,Lists!$F$4:$F$10,0)),"Unmapped")))</f>
        <v/>
      </c>
      <c r="F73" s="16" t="n"/>
      <c r="G73" s="16" t="inlineStr">
        <is>
          <t xml:space="preserve">APA </t>
        </is>
      </c>
      <c r="H73" s="14" t="n">
        <v>25121208</v>
      </c>
      <c r="I73" s="16" t="inlineStr">
        <is>
          <t>APA FYR Investor Briefing 20.8.26</t>
        </is>
      </c>
      <c r="J73" s="14" t="inlineStr">
        <is>
          <t>Package</t>
        </is>
      </c>
      <c r="K73" s="17" t="n">
        <v>8472.5</v>
      </c>
      <c r="L73" s="18">
        <f>IF($K73="","",IF($E73="Production",$K73-N($AD73),$K73))</f>
        <v/>
      </c>
      <c r="M73" s="18">
        <f>IF($E73="Production",IF($K73="","",$K73-(N($AF73)+N($AG73))),IF($E73="Consulting",IF($K73="","",$K73-(N($AL73)+N($AM73)+N($AN73))),""))</f>
        <v/>
      </c>
      <c r="N73" s="19">
        <f>IFERROR($M73/$K73,"")</f>
        <v/>
      </c>
      <c r="O73" s="13">
        <f>IF(COUNTA($B73:$K73)=0,"",IF($C73="","No date",IF(AND($C73&gt;=Lists!$B$3,$C73&lt;Lists!$B$4),"In FY27","Outside FY27")))</f>
        <v/>
      </c>
      <c r="P73" s="13">
        <f>IF($E73&lt;&gt;"WIP","",IF($H73="","",IF(COUNTIFS($E$2:$E$20000,"&lt;&gt;WIP",$H$2:$H$20000,$H73)&gt;0,"Job already invoiced","")))</f>
        <v/>
      </c>
      <c r="Q73" s="16" t="n"/>
      <c r="R73" s="16" t="inlineStr">
        <is>
          <t>anna.sampson@apa.com.au</t>
        </is>
      </c>
      <c r="S73" s="15" t="n">
        <v>46254</v>
      </c>
      <c r="T73" s="14" t="n">
        <v>25121208</v>
      </c>
      <c r="U73" s="14" t="n">
        <v>5821</v>
      </c>
      <c r="V73" s="14" t="inlineStr">
        <is>
          <t>Y</t>
        </is>
      </c>
      <c r="W73" s="14" t="inlineStr">
        <is>
          <t>Y</t>
        </is>
      </c>
      <c r="X73" s="14" t="n"/>
      <c r="Y73" s="14" t="n"/>
      <c r="Z73" s="14" t="n">
        <v>2</v>
      </c>
      <c r="AA73" s="14" t="n"/>
      <c r="AB73" s="14" t="n">
        <v>20</v>
      </c>
      <c r="AC73" s="17" t="n"/>
      <c r="AD73" s="17" t="n">
        <v>3652.5</v>
      </c>
      <c r="AE73" s="19">
        <f>IF($E73&lt;&gt;"Production","",IFERROR($AD73/$L73,""))</f>
        <v/>
      </c>
      <c r="AF73" s="17" t="n">
        <v>1805.72</v>
      </c>
      <c r="AG73" s="17" t="n"/>
      <c r="AH73" s="16" t="n"/>
      <c r="AI73" s="17" t="n"/>
      <c r="AJ73" s="17" t="n"/>
      <c r="AK73" s="17" t="n"/>
      <c r="AL73" s="17" t="n"/>
      <c r="AM73" s="17" t="n"/>
      <c r="AN73" s="17" t="n"/>
    </row>
    <row r="74" ht="15" customHeight="1">
      <c r="A74" s="13">
        <f>IF(COUNTA($B74:$K74)=0,"",ROW()-1)</f>
        <v/>
      </c>
      <c r="B74" s="14" t="inlineStr">
        <is>
          <t>Invoice</t>
        </is>
      </c>
      <c r="C74" s="15" t="n"/>
      <c r="D74" s="16" t="inlineStr">
        <is>
          <t>Production</t>
        </is>
      </c>
      <c r="E74" s="13">
        <f>IF($B74="","",IF($B74="WIP","WIP",IFERROR(INDEX(Lists!$G$4:$G$10,MATCH($D74,Lists!$F$4:$F$10,0)),"Unmapped")))</f>
        <v/>
      </c>
      <c r="F74" s="16" t="n"/>
      <c r="G74" s="16" t="inlineStr">
        <is>
          <t xml:space="preserve">APA </t>
        </is>
      </c>
      <c r="H74" s="14" t="n">
        <v>2608702</v>
      </c>
      <c r="I74" s="16" t="inlineStr">
        <is>
          <t>APA FYR Town Hall Screen Hire 20.8.26</t>
        </is>
      </c>
      <c r="J74" s="14" t="inlineStr">
        <is>
          <t>INV-10592</t>
        </is>
      </c>
      <c r="K74" s="17" t="n">
        <v>830</v>
      </c>
      <c r="L74" s="18">
        <f>IF($K74="","",IF($E74="Production",$K74-N($AD74),$K74))</f>
        <v/>
      </c>
      <c r="M74" s="18">
        <f>IF($E74="Production",IF($K74="","",$K74-(N($AF74)+N($AG74))),IF($E74="Consulting",IF($K74="","",$K74-(N($AL74)+N($AM74)+N($AN74))),""))</f>
        <v/>
      </c>
      <c r="N74" s="19">
        <f>IFERROR($M74/$K74,"")</f>
        <v/>
      </c>
      <c r="O74" s="13">
        <f>IF(COUNTA($B74:$K74)=0,"",IF($C74="","No date",IF(AND($C74&gt;=Lists!$B$3,$C74&lt;Lists!$B$4),"In FY27","Outside FY27")))</f>
        <v/>
      </c>
      <c r="P74" s="13">
        <f>IF($E74&lt;&gt;"WIP","",IF($H74="","",IF(COUNTIFS($E$2:$E$20000,"&lt;&gt;WIP",$H$2:$H$20000,$H74)&gt;0,"Job already invoiced","")))</f>
        <v/>
      </c>
      <c r="Q74" s="16" t="n"/>
      <c r="R74" s="16" t="inlineStr">
        <is>
          <t>anna.sampson@apa.com.au</t>
        </is>
      </c>
      <c r="S74" s="15" t="n">
        <v>46254</v>
      </c>
      <c r="T74" s="14" t="n">
        <v>2608702</v>
      </c>
      <c r="U74" s="14" t="n">
        <v>6149</v>
      </c>
      <c r="V74" s="14" t="inlineStr">
        <is>
          <t>Y</t>
        </is>
      </c>
      <c r="W74" s="14" t="inlineStr">
        <is>
          <t>Y</t>
        </is>
      </c>
      <c r="X74" s="14" t="n"/>
      <c r="Y74" s="14" t="n"/>
      <c r="Z74" s="14" t="n"/>
      <c r="AA74" s="14" t="n"/>
      <c r="AB74" s="14" t="n"/>
      <c r="AC74" s="17" t="n"/>
      <c r="AD74" s="17" t="n"/>
      <c r="AE74" s="19">
        <f>IF($E74&lt;&gt;"Production","",IFERROR($AD74/$L74,""))</f>
        <v/>
      </c>
      <c r="AF74" s="17" t="n">
        <v>784.5</v>
      </c>
      <c r="AG74" s="17" t="n"/>
      <c r="AH74" s="16" t="n"/>
      <c r="AI74" s="17" t="n"/>
      <c r="AJ74" s="17" t="n"/>
      <c r="AK74" s="17" t="n"/>
      <c r="AL74" s="17" t="n"/>
      <c r="AM74" s="17" t="n"/>
      <c r="AN74" s="17" t="n"/>
    </row>
    <row r="75" ht="15" customHeight="1">
      <c r="A75" s="13">
        <f>IF(COUNTA($B75:$K75)=0,"",ROW()-1)</f>
        <v/>
      </c>
      <c r="B75" s="14" t="inlineStr">
        <is>
          <t>Invoice</t>
        </is>
      </c>
      <c r="C75" s="15" t="n"/>
      <c r="D75" s="16" t="inlineStr">
        <is>
          <t>Production</t>
        </is>
      </c>
      <c r="E75" s="13">
        <f>IF($B75="","",IF($B75="WIP","WIP",IFERROR(INDEX(Lists!$G$4:$G$10,MATCH($D75,Lists!$F$4:$F$10,0)),"Unmapped")))</f>
        <v/>
      </c>
      <c r="F75" s="16" t="n"/>
      <c r="G75" s="16" t="inlineStr">
        <is>
          <t>APA</t>
        </is>
      </c>
      <c r="H75" s="14" t="n">
        <v>26061108</v>
      </c>
      <c r="I75" s="16" t="inlineStr">
        <is>
          <t>APA FYR Town Hall 20.8.26</t>
        </is>
      </c>
      <c r="J75" s="14" t="inlineStr">
        <is>
          <t>Package</t>
        </is>
      </c>
      <c r="K75" s="17" t="n">
        <v>12600.6</v>
      </c>
      <c r="L75" s="18">
        <f>IF($K75="","",IF($E75="Production",$K75-N($AD75),$K75))</f>
        <v/>
      </c>
      <c r="M75" s="18">
        <f>IF($E75="Production",IF($K75="","",$K75-(N($AF75)+N($AG75))),IF($E75="Consulting",IF($K75="","",$K75-(N($AL75)+N($AM75)+N($AN75))),""))</f>
        <v/>
      </c>
      <c r="N75" s="19">
        <f>IFERROR($M75/$K75,"")</f>
        <v/>
      </c>
      <c r="O75" s="13">
        <f>IF(COUNTA($B75:$K75)=0,"",IF($C75="","No date",IF(AND($C75&gt;=Lists!$B$3,$C75&lt;Lists!$B$4),"In FY27","Outside FY27")))</f>
        <v/>
      </c>
      <c r="P75" s="13">
        <f>IF($E75&lt;&gt;"WIP","",IF($H75="","",IF(COUNTIFS($E$2:$E$20000,"&lt;&gt;WIP",$H$2:$H$20000,$H75)&gt;0,"Job already invoiced","")))</f>
        <v/>
      </c>
      <c r="Q75" s="16" t="n"/>
      <c r="R75" s="16" t="inlineStr">
        <is>
          <t>steph.bennett@apa.com.au</t>
        </is>
      </c>
      <c r="S75" s="15" t="n">
        <v>46254</v>
      </c>
      <c r="T75" s="14" t="n">
        <v>26061108</v>
      </c>
      <c r="U75" s="14" t="n">
        <v>6073</v>
      </c>
      <c r="V75" s="14" t="inlineStr">
        <is>
          <t>Y</t>
        </is>
      </c>
      <c r="W75" s="14" t="inlineStr">
        <is>
          <t>Y</t>
        </is>
      </c>
      <c r="X75" s="14" t="n">
        <v>5</v>
      </c>
      <c r="Y75" s="14" t="n"/>
      <c r="Z75" s="14" t="n">
        <v>6</v>
      </c>
      <c r="AA75" s="14" t="n"/>
      <c r="AB75" s="14" t="n">
        <v>45</v>
      </c>
      <c r="AC75" s="17" t="n">
        <v>1261.6</v>
      </c>
      <c r="AD75" s="17" t="n">
        <v>1651.4</v>
      </c>
      <c r="AE75" s="19">
        <f>IF($E75&lt;&gt;"Production","",IFERROR($AD75/$L75,""))</f>
        <v/>
      </c>
      <c r="AF75" s="17" t="n"/>
      <c r="AG75" s="17" t="n"/>
      <c r="AH75" s="16" t="n"/>
      <c r="AI75" s="17" t="n"/>
      <c r="AJ75" s="17" t="n"/>
      <c r="AK75" s="17" t="n"/>
      <c r="AL75" s="17" t="n"/>
      <c r="AM75" s="17" t="n"/>
      <c r="AN75" s="17" t="n"/>
    </row>
    <row r="76" ht="15" customHeight="1">
      <c r="A76" s="13">
        <f>IF(COUNTA($B76:$K76)=0,"",ROW()-1)</f>
        <v/>
      </c>
      <c r="B76" s="14" t="inlineStr">
        <is>
          <t>Invoice</t>
        </is>
      </c>
      <c r="C76" s="15" t="n"/>
      <c r="D76" s="16" t="inlineStr">
        <is>
          <t>Production</t>
        </is>
      </c>
      <c r="E76" s="13">
        <f>IF($B76="","",IF($B76="WIP","WIP",IFERROR(INDEX(Lists!$G$4:$G$10,MATCH($D76,Lists!$F$4:$F$10,0)),"Unmapped")))</f>
        <v/>
      </c>
      <c r="F76" s="16" t="n"/>
      <c r="G76" s="16" t="inlineStr">
        <is>
          <t>Ventia</t>
        </is>
      </c>
      <c r="H76" s="14" t="n">
        <v>26061109</v>
      </c>
      <c r="I76" s="16" t="inlineStr">
        <is>
          <t>Ventia HYR Employee Town Hall 24.8.26 (PO 4701366307)</t>
        </is>
      </c>
      <c r="J76" s="14" t="inlineStr">
        <is>
          <t>INV-10593</t>
        </is>
      </c>
      <c r="K76" s="17" t="n">
        <v>13401.5</v>
      </c>
      <c r="L76" s="18">
        <f>IF($K76="","",IF($E76="Production",$K76-N($AD76),$K76))</f>
        <v/>
      </c>
      <c r="M76" s="18">
        <f>IF($E76="Production",IF($K76="","",$K76-(N($AF76)+N($AG76))),IF($E76="Consulting",IF($K76="","",$K76-(N($AL76)+N($AM76)+N($AN76))),""))</f>
        <v/>
      </c>
      <c r="N76" s="19">
        <f>IFERROR($M76/$K76,"")</f>
        <v/>
      </c>
      <c r="O76" s="13">
        <f>IF(COUNTA($B76:$K76)=0,"",IF($C76="","No date",IF(AND($C76&gt;=Lists!$B$3,$C76&lt;Lists!$B$4),"In FY27","Outside FY27")))</f>
        <v/>
      </c>
      <c r="P76" s="13">
        <f>IF($E76&lt;&gt;"WIP","",IF($H76="","",IF(COUNTIFS($E$2:$E$20000,"&lt;&gt;WIP",$H$2:$H$20000,$H76)&gt;0,"Job already invoiced","")))</f>
        <v/>
      </c>
      <c r="Q76" s="16" t="n"/>
      <c r="R76" s="16" t="inlineStr">
        <is>
          <t>amy.johnson@ventia.com</t>
        </is>
      </c>
      <c r="S76" s="15" t="n">
        <v>46258</v>
      </c>
      <c r="T76" s="14" t="n">
        <v>26061109</v>
      </c>
      <c r="U76" s="14" t="n">
        <v>6095</v>
      </c>
      <c r="V76" s="14" t="inlineStr">
        <is>
          <t>Y</t>
        </is>
      </c>
      <c r="W76" s="14" t="inlineStr">
        <is>
          <t>Y</t>
        </is>
      </c>
      <c r="X76" s="14" t="n">
        <v>4</v>
      </c>
      <c r="Y76" s="14" t="n"/>
      <c r="Z76" s="14" t="n"/>
      <c r="AA76" s="14" t="n"/>
      <c r="AB76" s="14" t="n">
        <v>41</v>
      </c>
      <c r="AC76" s="17" t="n">
        <v>1771</v>
      </c>
      <c r="AD76" s="17" t="n">
        <v>524.5</v>
      </c>
      <c r="AE76" s="19">
        <f>IF($E76&lt;&gt;"Production","",IFERROR($AD76/$L76,""))</f>
        <v/>
      </c>
      <c r="AF76" s="17" t="n">
        <v>1350</v>
      </c>
      <c r="AG76" s="17" t="n"/>
      <c r="AH76" s="16" t="n"/>
      <c r="AI76" s="17" t="n"/>
      <c r="AJ76" s="17" t="n"/>
      <c r="AK76" s="17" t="n"/>
      <c r="AL76" s="17" t="n"/>
      <c r="AM76" s="17" t="n"/>
      <c r="AN76" s="17" t="n"/>
    </row>
    <row r="77" ht="15" customHeight="1">
      <c r="A77" s="13">
        <f>IF(COUNTA($B77:$K77)=0,"",ROW()-1)</f>
        <v/>
      </c>
      <c r="B77" s="14" t="inlineStr">
        <is>
          <t>Invoice</t>
        </is>
      </c>
      <c r="C77" s="15" t="n">
        <v>46265</v>
      </c>
      <c r="D77" s="16" t="inlineStr">
        <is>
          <t>Production</t>
        </is>
      </c>
      <c r="E77" s="13">
        <f>IF($B77="","",IF($B77="WIP","WIP",IFERROR(INDEX(Lists!$G$4:$G$10,MATCH($D77,Lists!$F$4:$F$10,0)),"Unmapped")))</f>
        <v/>
      </c>
      <c r="F77" s="16" t="n"/>
      <c r="G77" s="16" t="inlineStr">
        <is>
          <t>Ventia</t>
        </is>
      </c>
      <c r="H77" s="14" t="n">
        <v>26071501</v>
      </c>
      <c r="I77" s="16" t="inlineStr">
        <is>
          <t>Ventia Half Year Results Briefing</t>
        </is>
      </c>
      <c r="J77" s="14" t="inlineStr">
        <is>
          <t>INV-10612</t>
        </is>
      </c>
      <c r="K77" s="17" t="n">
        <v>10835.49</v>
      </c>
      <c r="L77" s="18">
        <f>IF($K77="","",IF($E77="Production",$K77-N($AD77),$K77))</f>
        <v/>
      </c>
      <c r="M77" s="18">
        <f>IF($E77="Production",IF($K77="","",$K77-(N($AF77)+N($AG77))),IF($E77="Consulting",IF($K77="","",$K77-(N($AL77)+N($AM77)+N($AN77))),""))</f>
        <v/>
      </c>
      <c r="N77" s="19">
        <f>IFERROR($M77/$K77,"")</f>
        <v/>
      </c>
      <c r="O77" s="13">
        <f>IF(COUNTA($B77:$K77)=0,"",IF($C77="","No date",IF(AND($C77&gt;=Lists!$B$3,$C77&lt;Lists!$B$4),"In FY27","Outside FY27")))</f>
        <v/>
      </c>
      <c r="P77" s="13">
        <f>IF($E77&lt;&gt;"WIP","",IF($H77="","",IF(COUNTIFS($E$2:$E$20000,"&lt;&gt;WIP",$H$2:$H$20000,$H77)&gt;0,"Job already invoiced","")))</f>
        <v/>
      </c>
      <c r="Q77" s="16" t="n"/>
      <c r="R77" s="16" t="inlineStr">
        <is>
          <t>chantal.travers@ventia.com</t>
        </is>
      </c>
      <c r="S77" s="15" t="n">
        <v>46258</v>
      </c>
      <c r="T77" s="14" t="n">
        <v>26071501</v>
      </c>
      <c r="U77" s="14" t="n">
        <v>6094</v>
      </c>
      <c r="V77" s="14" t="inlineStr">
        <is>
          <t>Y</t>
        </is>
      </c>
      <c r="W77" s="14" t="inlineStr">
        <is>
          <t>Y</t>
        </is>
      </c>
      <c r="X77" s="14" t="n"/>
      <c r="Y77" s="14" t="n"/>
      <c r="Z77" s="14" t="n"/>
      <c r="AA77" s="14" t="n"/>
      <c r="AB77" s="14" t="n">
        <v>11</v>
      </c>
      <c r="AC77" s="17" t="n"/>
      <c r="AD77" s="17" t="n">
        <v>495</v>
      </c>
      <c r="AE77" s="19">
        <f>IF($E77&lt;&gt;"Production","",IFERROR($AD77/$L77,""))</f>
        <v/>
      </c>
      <c r="AF77" s="17" t="n">
        <v>2303.09</v>
      </c>
      <c r="AG77" s="17" t="n"/>
      <c r="AH77" s="16" t="n"/>
      <c r="AI77" s="17" t="n"/>
      <c r="AJ77" s="17" t="n"/>
      <c r="AK77" s="17" t="n"/>
      <c r="AL77" s="17" t="n"/>
      <c r="AM77" s="17" t="n"/>
      <c r="AN77" s="17" t="n"/>
    </row>
    <row r="78" ht="15" customHeight="1">
      <c r="A78" s="13">
        <f>IF(COUNTA($B78:$K78)=0,"",ROW()-1)</f>
        <v/>
      </c>
      <c r="B78" s="14" t="inlineStr">
        <is>
          <t>Invoice</t>
        </is>
      </c>
      <c r="C78" s="15" t="n">
        <v>46265</v>
      </c>
      <c r="D78" s="16" t="inlineStr">
        <is>
          <t>Production</t>
        </is>
      </c>
      <c r="E78" s="13">
        <f>IF($B78="","",IF($B78="WIP","WIP",IFERROR(INDEX(Lists!$G$4:$G$10,MATCH($D78,Lists!$F$4:$F$10,0)),"Unmapped")))</f>
        <v/>
      </c>
      <c r="F78" s="16" t="n"/>
      <c r="G78" s="16" t="inlineStr">
        <is>
          <t>Downer - Melbourne</t>
        </is>
      </c>
      <c r="H78" s="14" t="n">
        <v>26073111</v>
      </c>
      <c r="I78" s="16" t="inlineStr">
        <is>
          <t>Employee Results Briefing</t>
        </is>
      </c>
      <c r="J78" s="14" t="inlineStr">
        <is>
          <t>INV-10611</t>
        </is>
      </c>
      <c r="K78" s="17" t="n">
        <v>24413.75</v>
      </c>
      <c r="L78" s="18">
        <f>IF($K78="","",IF($E78="Production",$K78-N($AD78),$K78))</f>
        <v/>
      </c>
      <c r="M78" s="18">
        <f>IF($E78="Production",IF($K78="","",$K78-(N($AF78)+N($AG78))),IF($E78="Consulting",IF($K78="","",$K78-(N($AL78)+N($AM78)+N($AN78))),""))</f>
        <v/>
      </c>
      <c r="N78" s="19">
        <f>IFERROR($M78/$K78,"")</f>
        <v/>
      </c>
      <c r="O78" s="13">
        <f>IF(COUNTA($B78:$K78)=0,"",IF($C78="","No date",IF(AND($C78&gt;=Lists!$B$3,$C78&lt;Lists!$B$4),"In FY27","Outside FY27")))</f>
        <v/>
      </c>
      <c r="P78" s="13">
        <f>IF($E78&lt;&gt;"WIP","",IF($H78="","",IF(COUNTIFS($E$2:$E$20000,"&lt;&gt;WIP",$H$2:$H$20000,$H78)&gt;0,"Job already invoiced","")))</f>
        <v/>
      </c>
      <c r="Q78" s="16" t="n"/>
      <c r="R78" s="16" t="inlineStr">
        <is>
          <t>mitchell.dale@downergroup.com</t>
        </is>
      </c>
      <c r="S78" s="15" t="n">
        <v>46259</v>
      </c>
      <c r="T78" s="14" t="n">
        <v>26073111</v>
      </c>
      <c r="U78" s="14" t="n">
        <v>6144</v>
      </c>
      <c r="V78" s="14" t="inlineStr">
        <is>
          <t>Y</t>
        </is>
      </c>
      <c r="W78" s="14" t="inlineStr">
        <is>
          <t>Y</t>
        </is>
      </c>
      <c r="X78" s="14" t="n">
        <v>5</v>
      </c>
      <c r="Y78" s="14" t="n"/>
      <c r="Z78" s="14" t="n">
        <v>3</v>
      </c>
      <c r="AA78" s="14" t="n"/>
      <c r="AB78" s="14" t="n">
        <v>37</v>
      </c>
      <c r="AC78" s="17" t="n">
        <v>1785</v>
      </c>
      <c r="AD78" s="17" t="n">
        <v>2281.25</v>
      </c>
      <c r="AE78" s="19">
        <f>IF($E78&lt;&gt;"Production","",IFERROR($AD78/$L78,""))</f>
        <v/>
      </c>
      <c r="AF78" s="17" t="n">
        <v>14754.3</v>
      </c>
      <c r="AG78" s="17" t="n"/>
      <c r="AH78" s="16" t="n"/>
      <c r="AI78" s="17" t="n"/>
      <c r="AJ78" s="17" t="n"/>
      <c r="AK78" s="17" t="n"/>
      <c r="AL78" s="17" t="n"/>
      <c r="AM78" s="17" t="n"/>
      <c r="AN78" s="17" t="n"/>
    </row>
    <row r="79" ht="15" customHeight="1">
      <c r="A79" s="13">
        <f>IF(COUNTA($B79:$K79)=0,"",ROW()-1)</f>
        <v/>
      </c>
      <c r="B79" s="14" t="inlineStr">
        <is>
          <t>Invoice</t>
        </is>
      </c>
      <c r="C79" s="15" t="n">
        <v>46259</v>
      </c>
      <c r="D79" s="16" t="inlineStr">
        <is>
          <t>Production</t>
        </is>
      </c>
      <c r="E79" s="13">
        <f>IF($B79="","",IF($B79="WIP","WIP",IFERROR(INDEX(Lists!$G$4:$G$10,MATCH($D79,Lists!$F$4:$F$10,0)),"Unmapped")))</f>
        <v/>
      </c>
      <c r="F79" s="16" t="n"/>
      <c r="G79" s="16" t="inlineStr">
        <is>
          <t>Symal - Melbourne</t>
        </is>
      </c>
      <c r="H79" s="14" t="n">
        <v>2606904</v>
      </c>
      <c r="I79" s="16" t="inlineStr">
        <is>
          <t>Symal FYR 2026</t>
        </is>
      </c>
      <c r="J79" s="14" t="n"/>
      <c r="K79" s="17" t="n">
        <v>13347</v>
      </c>
      <c r="L79" s="18">
        <f>IF($K79="","",IF($E79="Production",$K79-N($AD79),$K79))</f>
        <v/>
      </c>
      <c r="M79" s="18">
        <f>IF($E79="Production",IF($K79="","",$K79-(N($AF79)+N($AG79))),IF($E79="Consulting",IF($K79="","",$K79-(N($AL79)+N($AM79)+N($AN79))),""))</f>
        <v/>
      </c>
      <c r="N79" s="19">
        <f>IFERROR($M79/$K79,"")</f>
        <v/>
      </c>
      <c r="O79" s="13">
        <f>IF(COUNTA($B79:$K79)=0,"",IF($C79="","No date",IF(AND($C79&gt;=Lists!$B$3,$C79&lt;Lists!$B$4),"In FY27","Outside FY27")))</f>
        <v/>
      </c>
      <c r="P79" s="13">
        <f>IF($E79&lt;&gt;"WIP","",IF($H79="","",IF(COUNTIFS($E$2:$E$20000,"&lt;&gt;WIP",$H$2:$H$20000,$H79)&gt;0,"Job already invoiced","")))</f>
        <v/>
      </c>
      <c r="Q79" s="16" t="n"/>
      <c r="R79" s="16" t="inlineStr">
        <is>
          <t>pia.witt@symal.com.au</t>
        </is>
      </c>
      <c r="S79" s="15" t="n">
        <v>46259</v>
      </c>
      <c r="T79" s="14" t="n">
        <v>2606904</v>
      </c>
      <c r="U79" s="14" t="n">
        <v>6044</v>
      </c>
      <c r="V79" s="14" t="inlineStr">
        <is>
          <t>Y</t>
        </is>
      </c>
      <c r="W79" s="14" t="inlineStr">
        <is>
          <t>Y</t>
        </is>
      </c>
      <c r="X79" s="14" t="n"/>
      <c r="Y79" s="14" t="n"/>
      <c r="Z79" s="14" t="n">
        <v>2</v>
      </c>
      <c r="AA79" s="14" t="n"/>
      <c r="AB79" s="14" t="n">
        <v>22</v>
      </c>
      <c r="AC79" s="17" t="n">
        <v>86.5</v>
      </c>
      <c r="AD79" s="17" t="n">
        <v>3563</v>
      </c>
      <c r="AE79" s="19">
        <f>IF($E79&lt;&gt;"Production","",IFERROR($AD79/$L79,""))</f>
        <v/>
      </c>
      <c r="AF79" s="17" t="n">
        <v>1874</v>
      </c>
      <c r="AG79" s="17" t="n"/>
      <c r="AH79" s="16" t="n"/>
      <c r="AI79" s="17" t="n"/>
      <c r="AJ79" s="17" t="n"/>
      <c r="AK79" s="17" t="n"/>
      <c r="AL79" s="17" t="n"/>
      <c r="AM79" s="17" t="n"/>
      <c r="AN79" s="17" t="n"/>
    </row>
    <row r="80" ht="15" customHeight="1">
      <c r="A80" s="13">
        <f>IF(COUNTA($B80:$K80)=0,"",ROW()-1)</f>
        <v/>
      </c>
      <c r="B80" s="14" t="inlineStr">
        <is>
          <t>Invoice</t>
        </is>
      </c>
      <c r="C80" s="15" t="n"/>
      <c r="D80" s="16" t="inlineStr">
        <is>
          <t>Production</t>
        </is>
      </c>
      <c r="E80" s="13">
        <f>IF($B80="","",IF($B80="WIP","WIP",IFERROR(INDEX(Lists!$G$4:$G$10,MATCH($D80,Lists!$F$4:$F$10,0)),"Unmapped")))</f>
        <v/>
      </c>
      <c r="F80" s="16" t="n"/>
      <c r="G80" s="16" t="inlineStr">
        <is>
          <t>Garvan</t>
        </is>
      </c>
      <c r="H80" s="14" t="n">
        <v>26061001</v>
      </c>
      <c r="I80" s="16" t="inlineStr">
        <is>
          <t>Garvan August All Clear Event 25.8.26</t>
        </is>
      </c>
      <c r="J80" s="14" t="inlineStr">
        <is>
          <t>INV-10595</t>
        </is>
      </c>
      <c r="K80" s="17" t="n">
        <v>770</v>
      </c>
      <c r="L80" s="18">
        <f>IF($K80="","",IF($E80="Production",$K80-N($AD80),$K80))</f>
        <v/>
      </c>
      <c r="M80" s="18">
        <f>IF($E80="Production",IF($K80="","",$K80-(N($AF80)+N($AG80))),IF($E80="Consulting",IF($K80="","",$K80-(N($AL80)+N($AM80)+N($AN80))),""))</f>
        <v/>
      </c>
      <c r="N80" s="19">
        <f>IFERROR($M80/$K80,"")</f>
        <v/>
      </c>
      <c r="O80" s="13">
        <f>IF(COUNTA($B80:$K80)=0,"",IF($C80="","No date",IF(AND($C80&gt;=Lists!$B$3,$C80&lt;Lists!$B$4),"In FY27","Outside FY27")))</f>
        <v/>
      </c>
      <c r="P80" s="13">
        <f>IF($E80&lt;&gt;"WIP","",IF($H80="","",IF(COUNTIFS($E$2:$E$20000,"&lt;&gt;WIP",$H$2:$H$20000,$H80)&gt;0,"Job already invoiced","")))</f>
        <v/>
      </c>
      <c r="Q80" s="16" t="n"/>
      <c r="R80" s="16" t="inlineStr">
        <is>
          <t>t.choi@garvan.org.au</t>
        </is>
      </c>
      <c r="S80" s="15" t="n">
        <v>46259</v>
      </c>
      <c r="T80" s="14" t="n">
        <v>26061001</v>
      </c>
      <c r="U80" s="14" t="n">
        <v>6055</v>
      </c>
      <c r="V80" s="14" t="inlineStr">
        <is>
          <t>Y</t>
        </is>
      </c>
      <c r="W80" s="14" t="inlineStr">
        <is>
          <t>Y</t>
        </is>
      </c>
      <c r="X80" s="14" t="n"/>
      <c r="Y80" s="14" t="n"/>
      <c r="Z80" s="14" t="n">
        <v>1</v>
      </c>
      <c r="AA80" s="14" t="n"/>
      <c r="AB80" s="14" t="n">
        <v>4</v>
      </c>
      <c r="AC80" s="17" t="n"/>
      <c r="AD80" s="17" t="n">
        <v>90</v>
      </c>
      <c r="AE80" s="19">
        <f>IF($E80&lt;&gt;"Production","",IFERROR($AD80/$L80,""))</f>
        <v/>
      </c>
      <c r="AF80" s="17" t="n"/>
      <c r="AG80" s="17" t="n"/>
      <c r="AH80" s="16" t="n"/>
      <c r="AI80" s="17" t="n"/>
      <c r="AJ80" s="17" t="n"/>
      <c r="AK80" s="17" t="n"/>
      <c r="AL80" s="17" t="n"/>
      <c r="AM80" s="17" t="n"/>
      <c r="AN80" s="17" t="n"/>
    </row>
    <row r="81" ht="15" customHeight="1">
      <c r="A81" s="13">
        <f>IF(COUNTA($B81:$K81)=0,"",ROW()-1)</f>
        <v/>
      </c>
      <c r="B81" s="14" t="inlineStr">
        <is>
          <t>Invoice</t>
        </is>
      </c>
      <c r="C81" s="15" t="n"/>
      <c r="D81" s="16" t="inlineStr">
        <is>
          <t>Production</t>
        </is>
      </c>
      <c r="E81" s="13">
        <f>IF($B81="","",IF($B81="WIP","WIP",IFERROR(INDEX(Lists!$G$4:$G$10,MATCH($D81,Lists!$F$4:$F$10,0)),"Unmapped")))</f>
        <v/>
      </c>
      <c r="F81" s="16" t="n"/>
      <c r="G81" s="16" t="inlineStr">
        <is>
          <t>Elkiem</t>
        </is>
      </c>
      <c r="H81" s="14" t="n">
        <v>26073105</v>
      </c>
      <c r="I81" s="16" t="inlineStr">
        <is>
          <t>Studio Support 25.8.26</t>
        </is>
      </c>
      <c r="J81" s="14" t="inlineStr">
        <is>
          <t>INV-10594</t>
        </is>
      </c>
      <c r="K81" s="17" t="n">
        <v>380</v>
      </c>
      <c r="L81" s="18">
        <f>IF($K81="","",IF($E81="Production",$K81-N($AD81),$K81))</f>
        <v/>
      </c>
      <c r="M81" s="18">
        <f>IF($E81="Production",IF($K81="","",$K81-(N($AF81)+N($AG81))),IF($E81="Consulting",IF($K81="","",$K81-(N($AL81)+N($AM81)+N($AN81))),""))</f>
        <v/>
      </c>
      <c r="N81" s="19">
        <f>IFERROR($M81/$K81,"")</f>
        <v/>
      </c>
      <c r="O81" s="13">
        <f>IF(COUNTA($B81:$K81)=0,"",IF($C81="","No date",IF(AND($C81&gt;=Lists!$B$3,$C81&lt;Lists!$B$4),"In FY27","Outside FY27")))</f>
        <v/>
      </c>
      <c r="P81" s="13">
        <f>IF($E81&lt;&gt;"WIP","",IF($H81="","",IF(COUNTIFS($E$2:$E$20000,"&lt;&gt;WIP",$H$2:$H$20000,$H81)&gt;0,"Job already invoiced","")))</f>
        <v/>
      </c>
      <c r="Q81" s="16" t="n"/>
      <c r="R81" s="16" t="inlineStr">
        <is>
          <t>ben.woodlock@elkiem.com</t>
        </is>
      </c>
      <c r="S81" s="15" t="n">
        <v>46259</v>
      </c>
      <c r="T81" s="14" t="n">
        <v>26073105</v>
      </c>
      <c r="U81" s="14" t="n">
        <v>6129</v>
      </c>
      <c r="V81" s="14" t="inlineStr">
        <is>
          <t>Y</t>
        </is>
      </c>
      <c r="W81" s="14" t="inlineStr">
        <is>
          <t>Y</t>
        </is>
      </c>
      <c r="X81" s="14" t="n"/>
      <c r="Y81" s="14" t="n"/>
      <c r="Z81" s="14" t="n"/>
      <c r="AA81" s="14" t="n"/>
      <c r="AB81" s="14" t="n">
        <v>4</v>
      </c>
      <c r="AC81" s="17" t="n"/>
      <c r="AD81" s="17" t="n"/>
      <c r="AE81" s="19">
        <f>IF($E81&lt;&gt;"Production","",IFERROR($AD81/$L81,""))</f>
        <v/>
      </c>
      <c r="AF81" s="17" t="n"/>
      <c r="AG81" s="17" t="n"/>
      <c r="AH81" s="16" t="n"/>
      <c r="AI81" s="17" t="n"/>
      <c r="AJ81" s="17" t="n"/>
      <c r="AK81" s="17" t="n"/>
      <c r="AL81" s="17" t="n"/>
      <c r="AM81" s="17" t="n"/>
      <c r="AN81" s="17" t="n"/>
    </row>
    <row r="82" ht="15" customHeight="1">
      <c r="A82" s="13">
        <f>IF(COUNTA($B82:$K82)=0,"",ROW()-1)</f>
        <v/>
      </c>
      <c r="B82" s="14" t="inlineStr">
        <is>
          <t>Invoice</t>
        </is>
      </c>
      <c r="C82" s="15" t="n"/>
      <c r="D82" s="16" t="inlineStr">
        <is>
          <t>Production</t>
        </is>
      </c>
      <c r="E82" s="13">
        <f>IF($B82="","",IF($B82="WIP","WIP",IFERROR(INDEX(Lists!$G$4:$G$10,MATCH($D82,Lists!$F$4:$F$10,0)),"Unmapped")))</f>
        <v/>
      </c>
      <c r="F82" s="16" t="n"/>
      <c r="G82" s="16" t="inlineStr">
        <is>
          <t>Virgin - BNE</t>
        </is>
      </c>
      <c r="H82" s="14" t="n">
        <v>2606903</v>
      </c>
      <c r="I82" s="16" t="inlineStr">
        <is>
          <t>FY26 Results - 28.8.26</t>
        </is>
      </c>
      <c r="J82" s="14" t="n"/>
      <c r="K82" s="17" t="n">
        <v>13389.5</v>
      </c>
      <c r="L82" s="18">
        <f>IF($K82="","",IF($E82="Production",$K82-N($AD82),$K82))</f>
        <v/>
      </c>
      <c r="M82" s="18">
        <f>IF($E82="Production",IF($K82="","",$K82-(N($AF82)+N($AG82))),IF($E82="Consulting",IF($K82="","",$K82-(N($AL82)+N($AM82)+N($AN82))),""))</f>
        <v/>
      </c>
      <c r="N82" s="19">
        <f>IFERROR($M82/$K82,"")</f>
        <v/>
      </c>
      <c r="O82" s="13">
        <f>IF(COUNTA($B82:$K82)=0,"",IF($C82="","No date",IF(AND($C82&gt;=Lists!$B$3,$C82&lt;Lists!$B$4),"In FY27","Outside FY27")))</f>
        <v/>
      </c>
      <c r="P82" s="13">
        <f>IF($E82&lt;&gt;"WIP","",IF($H82="","",IF(COUNTIFS($E$2:$E$20000,"&lt;&gt;WIP",$H$2:$H$20000,$H82)&gt;0,"Job already invoiced","")))</f>
        <v/>
      </c>
      <c r="Q82" s="16" t="n"/>
      <c r="R82" s="16" t="inlineStr">
        <is>
          <t>Saranya.Nagpal@virginaustralia.com</t>
        </is>
      </c>
      <c r="S82" s="15" t="n">
        <v>46262</v>
      </c>
      <c r="T82" s="14" t="n">
        <v>2606903</v>
      </c>
      <c r="U82" s="14" t="n">
        <v>6024</v>
      </c>
      <c r="V82" s="14" t="inlineStr">
        <is>
          <t>Y</t>
        </is>
      </c>
      <c r="W82" s="14" t="inlineStr">
        <is>
          <t>Y</t>
        </is>
      </c>
      <c r="X82" s="14" t="n"/>
      <c r="Y82" s="14" t="n"/>
      <c r="Z82" s="14" t="n">
        <v>4</v>
      </c>
      <c r="AA82" s="14" t="n"/>
      <c r="AB82" s="14" t="n">
        <v>23</v>
      </c>
      <c r="AC82" s="17" t="n"/>
      <c r="AD82" s="17" t="n">
        <v>3530.5</v>
      </c>
      <c r="AE82" s="19">
        <f>IF($E82&lt;&gt;"Production","",IFERROR($AD82/$L82,""))</f>
        <v/>
      </c>
      <c r="AF82" s="17" t="n">
        <v>4749.88</v>
      </c>
      <c r="AG82" s="17" t="n"/>
      <c r="AH82" s="16" t="n"/>
      <c r="AI82" s="17" t="n"/>
      <c r="AJ82" s="17" t="n"/>
      <c r="AK82" s="17" t="n"/>
      <c r="AL82" s="17" t="n"/>
      <c r="AM82" s="17" t="n"/>
      <c r="AN82" s="17" t="n"/>
    </row>
    <row r="83" ht="15" customHeight="1">
      <c r="A83" s="13">
        <f>IF(COUNTA($B83:$K83)=0,"",ROW()-1)</f>
        <v/>
      </c>
      <c r="B83" s="14" t="inlineStr">
        <is>
          <t>Invoice</t>
        </is>
      </c>
      <c r="C83" s="15" t="n"/>
      <c r="D83" s="16" t="inlineStr">
        <is>
          <t>Production</t>
        </is>
      </c>
      <c r="E83" s="13">
        <f>IF($B83="","",IF($B83="WIP","WIP",IFERROR(INDEX(Lists!$G$4:$G$10,MATCH($D83,Lists!$F$4:$F$10,0)),"Unmapped")))</f>
        <v/>
      </c>
      <c r="F83" s="16" t="n"/>
      <c r="G83" s="16" t="inlineStr">
        <is>
          <t>CBA</t>
        </is>
      </c>
      <c r="H83" s="14" t="n">
        <v>26072003</v>
      </c>
      <c r="I83" s="16" t="inlineStr">
        <is>
          <t>CBA - Live Event Support - August</t>
        </is>
      </c>
      <c r="J83" s="14" t="inlineStr">
        <is>
          <t>INV-10616</t>
        </is>
      </c>
      <c r="K83" s="17" t="n">
        <v>3990</v>
      </c>
      <c r="L83" s="18">
        <f>IF($K83="","",IF($E83="Production",$K83-N($AD83),$K83))</f>
        <v/>
      </c>
      <c r="M83" s="18">
        <f>IF($E83="Production",IF($K83="","",$K83-(N($AF83)+N($AG83))),IF($E83="Consulting",IF($K83="","",$K83-(N($AL83)+N($AM83)+N($AN83))),""))</f>
        <v/>
      </c>
      <c r="N83" s="19">
        <f>IFERROR($M83/$K83,"")</f>
        <v/>
      </c>
      <c r="O83" s="13">
        <f>IF(COUNTA($B83:$K83)=0,"",IF($C83="","No date",IF(AND($C83&gt;=Lists!$B$3,$C83&lt;Lists!$B$4),"In FY27","Outside FY27")))</f>
        <v/>
      </c>
      <c r="P83" s="13">
        <f>IF($E83&lt;&gt;"WIP","",IF($H83="","",IF(COUNTIFS($E$2:$E$20000,"&lt;&gt;WIP",$H$2:$H$20000,$H83)&gt;0,"Job already invoiced","")))</f>
        <v/>
      </c>
      <c r="Q83" s="16" t="n"/>
      <c r="R83" s="16" t="inlineStr">
        <is>
          <t>Steve.chezzi@cba.com.au</t>
        </is>
      </c>
      <c r="S83" s="15" t="n">
        <v>46265</v>
      </c>
      <c r="T83" s="14" t="n">
        <v>26072003</v>
      </c>
      <c r="U83" s="14" t="n">
        <v>6169</v>
      </c>
      <c r="V83" s="14" t="inlineStr">
        <is>
          <t>Y</t>
        </is>
      </c>
      <c r="W83" s="14" t="inlineStr">
        <is>
          <t>Y</t>
        </is>
      </c>
      <c r="X83" s="14" t="n"/>
      <c r="Y83" s="14" t="n"/>
      <c r="Z83" s="14" t="n"/>
      <c r="AA83" s="14" t="n"/>
      <c r="AB83" s="14" t="n">
        <v>56</v>
      </c>
      <c r="AC83" s="17" t="n"/>
      <c r="AD83" s="17" t="n"/>
      <c r="AE83" s="19">
        <f>IF($E83&lt;&gt;"Production","",IFERROR($AD83/$L83,""))</f>
        <v/>
      </c>
      <c r="AF83" s="17" t="n"/>
      <c r="AG83" s="17" t="n"/>
      <c r="AH83" s="16" t="n"/>
      <c r="AI83" s="17" t="n"/>
      <c r="AJ83" s="17" t="n"/>
      <c r="AK83" s="17" t="n"/>
      <c r="AL83" s="17" t="n"/>
      <c r="AM83" s="17" t="n"/>
      <c r="AN83" s="17" t="n"/>
    </row>
    <row r="84" ht="15" customHeight="1">
      <c r="A84" s="13">
        <f>IF(COUNTA($B84:$K84)=0,"",ROW()-1)</f>
        <v/>
      </c>
      <c r="B84" s="14" t="inlineStr">
        <is>
          <t>Invoice</t>
        </is>
      </c>
      <c r="C84" s="15" t="n">
        <v>46218</v>
      </c>
      <c r="D84" s="16" t="inlineStr">
        <is>
          <t>Production</t>
        </is>
      </c>
      <c r="E84" s="13">
        <f>IF($B84="","",IF($B84="WIP","WIP",IFERROR(INDEX(Lists!$G$4:$G$10,MATCH($D84,Lists!$F$4:$F$10,0)),"Unmapped")))</f>
        <v/>
      </c>
      <c r="F84" s="16" t="n"/>
      <c r="G84" s="16" t="inlineStr">
        <is>
          <t>APA</t>
        </is>
      </c>
      <c r="H84" s="14" t="inlineStr">
        <is>
          <t>26061609/26061608/26061607/26061108</t>
        </is>
      </c>
      <c r="I84" s="16" t="inlineStr">
        <is>
          <t>APA - All Hands Package FY27 (PO-00030766)</t>
        </is>
      </c>
      <c r="J84" s="14" t="inlineStr">
        <is>
          <t>INV-10521</t>
        </is>
      </c>
      <c r="K84" s="17" t="n">
        <v>54051.4</v>
      </c>
      <c r="L84" s="18">
        <f>IF($K84="","",IF($E84="Production",$K84-N($AD84),$K84))</f>
        <v/>
      </c>
      <c r="M84" s="18">
        <f>IF($E84="Production",IF($K84="","",$K84-(N($AF84)+N($AG84))),IF($E84="Consulting",IF($K84="","",$K84-(N($AL84)+N($AM84)+N($AN84))),""))</f>
        <v/>
      </c>
      <c r="N84" s="19">
        <f>IFERROR($M84/$K84,"")</f>
        <v/>
      </c>
      <c r="O84" s="13">
        <f>IF(COUNTA($B84:$K84)=0,"",IF($C84="","No date",IF(AND($C84&gt;=Lists!$B$3,$C84&lt;Lists!$B$4),"In FY27","Outside FY27")))</f>
        <v/>
      </c>
      <c r="P84" s="13">
        <f>IF($E84&lt;&gt;"WIP","",IF($H84="","",IF(COUNTIFS($E$2:$E$20000,"&lt;&gt;WIP",$H$2:$H$20000,$H84)&gt;0,"Job already invoiced","")))</f>
        <v/>
      </c>
      <c r="Q84" s="16" t="n"/>
      <c r="R84" s="16" t="n"/>
      <c r="S84" s="15" t="inlineStr">
        <is>
          <t>N/A</t>
        </is>
      </c>
      <c r="T84" s="14" t="n">
        <v>26061609</v>
      </c>
      <c r="U84" s="14" t="inlineStr">
        <is>
          <t>Proj: 0017</t>
        </is>
      </c>
      <c r="V84" s="14" t="inlineStr">
        <is>
          <t>Y</t>
        </is>
      </c>
      <c r="W84" s="14" t="inlineStr">
        <is>
          <t>Y</t>
        </is>
      </c>
      <c r="X84" s="14" t="n"/>
      <c r="Y84" s="14" t="n"/>
      <c r="Z84" s="14" t="n"/>
      <c r="AA84" s="14" t="n"/>
      <c r="AB84" s="14" t="n"/>
      <c r="AC84" s="17" t="n">
        <v>4308</v>
      </c>
      <c r="AD84" s="17" t="n"/>
      <c r="AE84" s="19">
        <f>IF($E84&lt;&gt;"Production","",IFERROR($AD84/$L84,""))</f>
        <v/>
      </c>
      <c r="AF84" s="17" t="n"/>
      <c r="AG84" s="17" t="n"/>
      <c r="AH84" s="16" t="n"/>
      <c r="AI84" s="17" t="n"/>
      <c r="AJ84" s="17" t="n"/>
      <c r="AK84" s="17" t="n"/>
      <c r="AL84" s="17" t="n"/>
      <c r="AM84" s="17" t="n"/>
      <c r="AN84" s="17" t="n"/>
    </row>
    <row r="85" ht="15" customHeight="1">
      <c r="A85" s="13">
        <f>IF(COUNTA($B85:$K85)=0,"",ROW()-1)</f>
        <v/>
      </c>
      <c r="B85" s="14" t="inlineStr">
        <is>
          <t>Invoice</t>
        </is>
      </c>
      <c r="C85" s="15" t="n">
        <v>46216</v>
      </c>
      <c r="D85" s="16" t="inlineStr">
        <is>
          <t>Other</t>
        </is>
      </c>
      <c r="E85" s="13">
        <f>IF($B85="","",IF($B85="WIP","WIP",IFERROR(INDEX(Lists!$G$4:$G$10,MATCH($D85,Lists!$F$4:$F$10,0)),"Unmapped")))</f>
        <v/>
      </c>
      <c r="F85" s="16" t="n"/>
      <c r="G85" s="16" t="inlineStr">
        <is>
          <t>Jaaz Salanoa</t>
        </is>
      </c>
      <c r="H85" s="14" t="n">
        <v>9100</v>
      </c>
      <c r="I85" s="16" t="inlineStr">
        <is>
          <t>Jaaz - Goget Hire</t>
        </is>
      </c>
      <c r="J85" s="14" t="inlineStr">
        <is>
          <t>INV-10523</t>
        </is>
      </c>
      <c r="K85" s="17" t="n"/>
      <c r="L85" s="18">
        <f>IF($K85="","",IF($E85="Production",$K85-N($AD85),$K85))</f>
        <v/>
      </c>
      <c r="M85" s="18">
        <f>IF($E85="Production",IF($K85="","",$K85-(N($AF85)+N($AG85))),IF($E85="Consulting",IF($K85="","",$K85-(N($AL85)+N($AM85)+N($AN85))),""))</f>
        <v/>
      </c>
      <c r="N85" s="19">
        <f>IFERROR($M85/$K85,"")</f>
        <v/>
      </c>
      <c r="O85" s="13">
        <f>IF(COUNTA($B85:$K85)=0,"",IF($C85="","No date",IF(AND($C85&gt;=Lists!$B$3,$C85&lt;Lists!$B$4),"In FY27","Outside FY27")))</f>
        <v/>
      </c>
      <c r="P85" s="13">
        <f>IF($E85&lt;&gt;"WIP","",IF($H85="","",IF(COUNTIFS($E$2:$E$20000,"&lt;&gt;WIP",$H$2:$H$20000,$H85)&gt;0,"Job already invoiced","")))</f>
        <v/>
      </c>
      <c r="Q85" s="16" t="n"/>
      <c r="R85" s="16" t="inlineStr">
        <is>
          <t>jaaz.salanoa@ctsav.com.au</t>
        </is>
      </c>
      <c r="S85" s="15" t="inlineStr">
        <is>
          <t>N/A</t>
        </is>
      </c>
      <c r="T85" s="14" t="inlineStr">
        <is>
          <t>N/A</t>
        </is>
      </c>
      <c r="U85" s="14" t="n"/>
      <c r="V85" s="14" t="inlineStr">
        <is>
          <t>Y</t>
        </is>
      </c>
      <c r="W85" s="14" t="inlineStr">
        <is>
          <t>Y</t>
        </is>
      </c>
      <c r="X85" s="14" t="n"/>
      <c r="Y85" s="14" t="n"/>
      <c r="Z85" s="14" t="n"/>
      <c r="AA85" s="14" t="n"/>
      <c r="AB85" s="14" t="n"/>
      <c r="AC85" s="17" t="n"/>
      <c r="AD85" s="17" t="n"/>
      <c r="AE85" s="19">
        <f>IF($E85&lt;&gt;"Production","",IFERROR($AD85/$L85,""))</f>
        <v/>
      </c>
      <c r="AF85" s="17" t="n"/>
      <c r="AG85" s="17" t="n"/>
      <c r="AH85" s="16" t="n"/>
      <c r="AI85" s="17" t="n"/>
      <c r="AJ85" s="17" t="n"/>
      <c r="AK85" s="17" t="n"/>
      <c r="AL85" s="17" t="n"/>
      <c r="AM85" s="17" t="n"/>
      <c r="AN85" s="17" t="n"/>
    </row>
    <row r="86" ht="15" customHeight="1">
      <c r="A86" s="13">
        <f>IF(COUNTA($B86:$K86)=0,"",ROW()-1)</f>
        <v/>
      </c>
      <c r="B86" s="14" t="inlineStr">
        <is>
          <t>Invoice</t>
        </is>
      </c>
      <c r="C86" s="15" t="n">
        <v>45805</v>
      </c>
      <c r="D86" s="16" t="inlineStr">
        <is>
          <t>Consulting</t>
        </is>
      </c>
      <c r="E86" s="13">
        <f>IF($B86="","",IF($B86="WIP","WIP",IFERROR(INDEX(Lists!$G$4:$G$10,MATCH($D86,Lists!$F$4:$F$10,0)),"Unmapped")))</f>
        <v/>
      </c>
      <c r="F86" s="16" t="inlineStr">
        <is>
          <t>Completed</t>
        </is>
      </c>
      <c r="G86" s="16" t="inlineStr">
        <is>
          <t>DAFF</t>
        </is>
      </c>
      <c r="H86" s="14" t="n">
        <v>25021901</v>
      </c>
      <c r="I86" s="16" t="inlineStr">
        <is>
          <t>Technology Standards Evaluation</t>
        </is>
      </c>
      <c r="J86" s="14" t="inlineStr">
        <is>
          <t>INV-9860</t>
        </is>
      </c>
      <c r="K86" s="17" t="n">
        <v>9875</v>
      </c>
      <c r="L86" s="18">
        <f>IF($K86="","",IF($E86="Production",$K86-N($AD86),$K86))</f>
        <v/>
      </c>
      <c r="M86" s="18">
        <f>IF($E86="Production",IF($K86="","",$K86-(N($AF86)+N($AG86))),IF($E86="Consulting",IF($K86="","",$K86-(N($AL86)+N($AM86)+N($AN86))),""))</f>
        <v/>
      </c>
      <c r="N86" s="19">
        <f>IFERROR($M86/$K86,"")</f>
        <v/>
      </c>
      <c r="O86" s="13">
        <f>IF(COUNTA($B86:$K86)=0,"",IF($C86="","No date",IF(AND($C86&gt;=Lists!$B$3,$C86&lt;Lists!$B$4),"In FY27","Outside FY27")))</f>
        <v/>
      </c>
      <c r="P86" s="13">
        <f>IF($E86&lt;&gt;"WIP","",IF($H86="","",IF(COUNTIFS($E$2:$E$20000,"&lt;&gt;WIP",$H$2:$H$20000,$H86)&gt;0,"Job already invoiced","")))</f>
        <v/>
      </c>
      <c r="Q86" s="16" t="inlineStr">
        <is>
          <t>Revenue still in WIP</t>
        </is>
      </c>
      <c r="R86" s="16" t="n"/>
      <c r="S86" s="15" t="n"/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7" t="n"/>
      <c r="AD86" s="17" t="n"/>
      <c r="AE86" s="19">
        <f>IF($E86&lt;&gt;"Production","",IFERROR($AD86/$L86,""))</f>
        <v/>
      </c>
      <c r="AF86" s="17" t="n"/>
      <c r="AG86" s="17" t="n"/>
      <c r="AH86" s="16" t="inlineStr">
        <is>
          <t>https://cts.qwilr.com/25021901-DAFF-Technology-Standards-Evaluation-A7PRmNNwQ5Wn</t>
        </is>
      </c>
      <c r="AI86" s="17" t="n">
        <v>9875</v>
      </c>
      <c r="AJ86" s="17" t="n"/>
      <c r="AK86" s="17" t="n"/>
      <c r="AL86" s="17" t="n"/>
      <c r="AM86" s="17" t="n"/>
      <c r="AN86" s="17" t="n"/>
    </row>
    <row r="87" ht="15" customHeight="1">
      <c r="A87" s="13">
        <f>IF(COUNTA($B87:$K87)=0,"",ROW()-1)</f>
        <v/>
      </c>
      <c r="B87" s="14" t="inlineStr">
        <is>
          <t>Invoice</t>
        </is>
      </c>
      <c r="C87" s="15" t="n">
        <v>46101</v>
      </c>
      <c r="D87" s="16" t="inlineStr">
        <is>
          <t>Consulting</t>
        </is>
      </c>
      <c r="E87" s="13">
        <f>IF($B87="","",IF($B87="WIP","WIP",IFERROR(INDEX(Lists!$G$4:$G$10,MATCH($D87,Lists!$F$4:$F$10,0)),"Unmapped")))</f>
        <v/>
      </c>
      <c r="F87" s="16" t="inlineStr">
        <is>
          <t>In Progress</t>
        </is>
      </c>
      <c r="G87" s="16" t="inlineStr">
        <is>
          <t>DEWR</t>
        </is>
      </c>
      <c r="H87" s="14" t="n">
        <v>25102701</v>
      </c>
      <c r="I87" s="16" t="inlineStr">
        <is>
          <t>DEWR Studio Upgrade</t>
        </is>
      </c>
      <c r="J87" s="14" t="inlineStr">
        <is>
          <t>INV-10319</t>
        </is>
      </c>
      <c r="K87" s="17" t="n">
        <v>23050</v>
      </c>
      <c r="L87" s="18">
        <f>IF($K87="","",IF($E87="Production",$K87-N($AD87),$K87))</f>
        <v/>
      </c>
      <c r="M87" s="18">
        <f>IF($E87="Production",IF($K87="","",$K87-(N($AF87)+N($AG87))),IF($E87="Consulting",IF($K87="","",$K87-(N($AL87)+N($AM87)+N($AN87))),""))</f>
        <v/>
      </c>
      <c r="N87" s="19">
        <f>IFERROR($M87/$K87,"")</f>
        <v/>
      </c>
      <c r="O87" s="13">
        <f>IF(COUNTA($B87:$K87)=0,"",IF($C87="","No date",IF(AND($C87&gt;=Lists!$B$3,$C87&lt;Lists!$B$4),"In FY27","Outside FY27")))</f>
        <v/>
      </c>
      <c r="P87" s="13">
        <f>IF($E87&lt;&gt;"WIP","",IF($H87="","",IF(COUNTIFS($E$2:$E$20000,"&lt;&gt;WIP",$H$2:$H$20000,$H87)&gt;0,"Job already invoiced","")))</f>
        <v/>
      </c>
      <c r="Q87" s="16" t="inlineStr">
        <is>
          <t>Progress Claim 01</t>
        </is>
      </c>
      <c r="R87" s="16" t="n"/>
      <c r="S87" s="15" t="n"/>
      <c r="T87" s="14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7" t="n"/>
      <c r="AD87" s="17" t="n"/>
      <c r="AE87" s="19">
        <f>IF($E87&lt;&gt;"Production","",IFERROR($AD87/$L87,""))</f>
        <v/>
      </c>
      <c r="AF87" s="17" t="n"/>
      <c r="AG87" s="17" t="n"/>
      <c r="AH87" s="16" t="inlineStr">
        <is>
          <t>https://cts.qwilr.com/25102701-DEWR-Studio-Upgrade-ESE25-143997-Rev-4-KTqWXx2QQz6f</t>
        </is>
      </c>
      <c r="AI87" s="17" t="n">
        <v>23050</v>
      </c>
      <c r="AJ87" s="17" t="n"/>
      <c r="AK87" s="17" t="n"/>
      <c r="AL87" s="17" t="n"/>
      <c r="AM87" s="17" t="n"/>
      <c r="AN87" s="17" t="n"/>
    </row>
    <row r="88" ht="15" customHeight="1">
      <c r="A88" s="13">
        <f>IF(COUNTA($B88:$K88)=0,"",ROW()-1)</f>
        <v/>
      </c>
      <c r="B88" s="14" t="inlineStr">
        <is>
          <t>Invoice</t>
        </is>
      </c>
      <c r="C88" s="15" t="n">
        <v>46104</v>
      </c>
      <c r="D88" s="16" t="inlineStr">
        <is>
          <t>Consulting</t>
        </is>
      </c>
      <c r="E88" s="13">
        <f>IF($B88="","",IF($B88="WIP","WIP",IFERROR(INDEX(Lists!$G$4:$G$10,MATCH($D88,Lists!$F$4:$F$10,0)),"Unmapped")))</f>
        <v/>
      </c>
      <c r="F88" s="16" t="inlineStr">
        <is>
          <t>In Progress</t>
        </is>
      </c>
      <c r="G88" s="16" t="inlineStr">
        <is>
          <t>DEWR</t>
        </is>
      </c>
      <c r="H88" s="14" t="n">
        <v>25102701</v>
      </c>
      <c r="I88" s="16" t="inlineStr">
        <is>
          <t>DEWR Studio Upgrade</t>
        </is>
      </c>
      <c r="J88" s="14" t="inlineStr">
        <is>
          <t>INV-10320</t>
        </is>
      </c>
      <c r="K88" s="17" t="n">
        <v>13250</v>
      </c>
      <c r="L88" s="18">
        <f>IF($K88="","",IF($E88="Production",$K88-N($AD88),$K88))</f>
        <v/>
      </c>
      <c r="M88" s="18">
        <f>IF($E88="Production",IF($K88="","",$K88-(N($AF88)+N($AG88))),IF($E88="Consulting",IF($K88="","",$K88-(N($AL88)+N($AM88)+N($AN88))),""))</f>
        <v/>
      </c>
      <c r="N88" s="19">
        <f>IFERROR($M88/$K88,"")</f>
        <v/>
      </c>
      <c r="O88" s="13">
        <f>IF(COUNTA($B88:$K88)=0,"",IF($C88="","No date",IF(AND($C88&gt;=Lists!$B$3,$C88&lt;Lists!$B$4),"In FY27","Outside FY27")))</f>
        <v/>
      </c>
      <c r="P88" s="13">
        <f>IF($E88&lt;&gt;"WIP","",IF($H88="","",IF(COUNTIFS($E$2:$E$20000,"&lt;&gt;WIP",$H$2:$H$20000,$H88)&gt;0,"Job already invoiced","")))</f>
        <v/>
      </c>
      <c r="Q88" s="16" t="inlineStr">
        <is>
          <t>Progress Claim 02</t>
        </is>
      </c>
      <c r="R88" s="16" t="n"/>
      <c r="S88" s="15" t="n"/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7" t="n"/>
      <c r="AD88" s="17" t="n"/>
      <c r="AE88" s="19">
        <f>IF($E88&lt;&gt;"Production","",IFERROR($AD88/$L88,""))</f>
        <v/>
      </c>
      <c r="AF88" s="17" t="n"/>
      <c r="AG88" s="17" t="n"/>
      <c r="AH88" s="16" t="inlineStr">
        <is>
          <t>https://cts.qwilr.com/25102701-DEWR-Studio-Upgrade-ESE25-143997-Rev-4-KTqWXx2QQz6f</t>
        </is>
      </c>
      <c r="AI88" s="17" t="n">
        <v>13250</v>
      </c>
      <c r="AJ88" s="17" t="n"/>
      <c r="AK88" s="17" t="n"/>
      <c r="AL88" s="17" t="n"/>
      <c r="AM88" s="17" t="n"/>
      <c r="AN88" s="17" t="n"/>
    </row>
    <row r="89" ht="15" customHeight="1">
      <c r="A89" s="13">
        <f>IF(COUNTA($B89:$K89)=0,"",ROW()-1)</f>
        <v/>
      </c>
      <c r="B89" s="14" t="inlineStr">
        <is>
          <t>Invoice</t>
        </is>
      </c>
      <c r="C89" s="15" t="n">
        <v>46128</v>
      </c>
      <c r="D89" s="16" t="inlineStr">
        <is>
          <t>Consulting</t>
        </is>
      </c>
      <c r="E89" s="13">
        <f>IF($B89="","",IF($B89="WIP","WIP",IFERROR(INDEX(Lists!$G$4:$G$10,MATCH($D89,Lists!$F$4:$F$10,0)),"Unmapped")))</f>
        <v/>
      </c>
      <c r="F89" s="16" t="inlineStr">
        <is>
          <t>In Progress</t>
        </is>
      </c>
      <c r="G89" s="16" t="inlineStr">
        <is>
          <t>DEWR</t>
        </is>
      </c>
      <c r="H89" s="14" t="n">
        <v>25102701</v>
      </c>
      <c r="I89" s="16" t="inlineStr">
        <is>
          <t>DEWR Studio Upgrade</t>
        </is>
      </c>
      <c r="J89" s="14" t="inlineStr">
        <is>
          <t>INV-10353</t>
        </is>
      </c>
      <c r="K89" s="17" t="n">
        <v>24410</v>
      </c>
      <c r="L89" s="18">
        <f>IF($K89="","",IF($E89="Production",$K89-N($AD89),$K89))</f>
        <v/>
      </c>
      <c r="M89" s="18">
        <f>IF($E89="Production",IF($K89="","",$K89-(N($AF89)+N($AG89))),IF($E89="Consulting",IF($K89="","",$K89-(N($AL89)+N($AM89)+N($AN89))),""))</f>
        <v/>
      </c>
      <c r="N89" s="19">
        <f>IFERROR($M89/$K89,"")</f>
        <v/>
      </c>
      <c r="O89" s="13">
        <f>IF(COUNTA($B89:$K89)=0,"",IF($C89="","No date",IF(AND($C89&gt;=Lists!$B$3,$C89&lt;Lists!$B$4),"In FY27","Outside FY27")))</f>
        <v/>
      </c>
      <c r="P89" s="13">
        <f>IF($E89&lt;&gt;"WIP","",IF($H89="","",IF(COUNTIFS($E$2:$E$20000,"&lt;&gt;WIP",$H$2:$H$20000,$H89)&gt;0,"Job already invoiced","")))</f>
        <v/>
      </c>
      <c r="Q89" s="16" t="inlineStr">
        <is>
          <t>Progress Claim 03</t>
        </is>
      </c>
      <c r="R89" s="16" t="n"/>
      <c r="S89" s="15" t="n"/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7" t="n"/>
      <c r="AD89" s="17" t="n"/>
      <c r="AE89" s="19">
        <f>IF($E89&lt;&gt;"Production","",IFERROR($AD89/$L89,""))</f>
        <v/>
      </c>
      <c r="AF89" s="17" t="n"/>
      <c r="AG89" s="17" t="n"/>
      <c r="AH89" s="16" t="inlineStr">
        <is>
          <t>https://cts.qwilr.com/25102701-DEWR-Studio-Upgrade-ESE25-143997-Rev-4-KTqWXx2QQz6f</t>
        </is>
      </c>
      <c r="AI89" s="17" t="n">
        <v>24410</v>
      </c>
      <c r="AJ89" s="17" t="n"/>
      <c r="AK89" s="17" t="n"/>
      <c r="AL89" s="17" t="n"/>
      <c r="AM89" s="17" t="n"/>
      <c r="AN89" s="17" t="n"/>
    </row>
    <row r="90" ht="15" customHeight="1">
      <c r="A90" s="13">
        <f>IF(COUNTA($B90:$K90)=0,"",ROW()-1)</f>
        <v/>
      </c>
      <c r="B90" s="14" t="inlineStr">
        <is>
          <t>Invoice</t>
        </is>
      </c>
      <c r="C90" s="15" t="n">
        <v>46162</v>
      </c>
      <c r="D90" s="16" t="inlineStr">
        <is>
          <t>Integration</t>
        </is>
      </c>
      <c r="E90" s="13">
        <f>IF($B90="","",IF($B90="WIP","WIP",IFERROR(INDEX(Lists!$G$4:$G$10,MATCH($D90,Lists!$F$4:$F$10,0)),"Unmapped")))</f>
        <v/>
      </c>
      <c r="F90" s="16" t="inlineStr">
        <is>
          <t>In Progress</t>
        </is>
      </c>
      <c r="G90" s="16" t="inlineStr">
        <is>
          <t>DTTL</t>
        </is>
      </c>
      <c r="H90" s="14" t="n">
        <v>26052002</v>
      </c>
      <c r="I90" s="16" t="inlineStr">
        <is>
          <t>BNE ​L23 Training Rooms Upgrade</t>
        </is>
      </c>
      <c r="J90" s="14" t="inlineStr">
        <is>
          <t>INV-10425</t>
        </is>
      </c>
      <c r="K90" s="17" t="n">
        <v>57706</v>
      </c>
      <c r="L90" s="18">
        <f>IF($K90="","",IF($E90="Production",$K90-N($AD90),$K90))</f>
        <v/>
      </c>
      <c r="M90" s="18">
        <f>IF($E90="Production",IF($K90="","",$K90-(N($AF90)+N($AG90))),IF($E90="Consulting",IF($K90="","",$K90-(N($AL90)+N($AM90)+N($AN90))),""))</f>
        <v/>
      </c>
      <c r="N90" s="19">
        <f>IFERROR($M90/$K90,"")</f>
        <v/>
      </c>
      <c r="O90" s="13">
        <f>IF(COUNTA($B90:$K90)=0,"",IF($C90="","No date",IF(AND($C90&gt;=Lists!$B$3,$C90&lt;Lists!$B$4),"In FY27","Outside FY27")))</f>
        <v/>
      </c>
      <c r="P90" s="13">
        <f>IF($E90&lt;&gt;"WIP","",IF($H90="","",IF(COUNTIFS($E$2:$E$20000,"&lt;&gt;WIP",$H$2:$H$20000,$H90)&gt;0,"Job already invoiced","")))</f>
        <v/>
      </c>
      <c r="Q90" s="16" t="n"/>
      <c r="R90" s="16" t="n"/>
      <c r="S90" s="15" t="n"/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7" t="n"/>
      <c r="AD90" s="17" t="n"/>
      <c r="AE90" s="19">
        <f>IF($E90&lt;&gt;"Production","",IFERROR($AD90/$L90,""))</f>
        <v/>
      </c>
      <c r="AF90" s="17" t="n"/>
      <c r="AG90" s="17" t="n"/>
      <c r="AH90" s="16" t="inlineStr">
        <is>
          <t>https://cts.qwilr.com/26052002-DeloitteBNE-Proposal-v1-0-Agx8wV5qTcax</t>
        </is>
      </c>
      <c r="AI90" s="17" t="n">
        <v>18262</v>
      </c>
      <c r="AJ90" s="17" t="n">
        <v>39444</v>
      </c>
      <c r="AK90" s="17" t="n"/>
      <c r="AL90" s="17" t="n">
        <v>15600</v>
      </c>
      <c r="AM90" s="17" t="n">
        <v>36400</v>
      </c>
      <c r="AN90" s="17" t="n"/>
    </row>
    <row r="91" ht="15" customHeight="1">
      <c r="A91" s="13">
        <f>IF(COUNTA($B91:$K91)=0,"",ROW()-1)</f>
        <v/>
      </c>
      <c r="B91" s="14" t="inlineStr">
        <is>
          <t>Invoice</t>
        </is>
      </c>
      <c r="C91" s="15" t="n">
        <v>46163</v>
      </c>
      <c r="D91" s="16" t="inlineStr">
        <is>
          <t>Integration</t>
        </is>
      </c>
      <c r="E91" s="13">
        <f>IF($B91="","",IF($B91="WIP","WIP",IFERROR(INDEX(Lists!$G$4:$G$10,MATCH($D91,Lists!$F$4:$F$10,0)),"Unmapped")))</f>
        <v/>
      </c>
      <c r="F91" s="16" t="inlineStr">
        <is>
          <t>Closed</t>
        </is>
      </c>
      <c r="G91" s="16" t="inlineStr">
        <is>
          <t>DTTL</t>
        </is>
      </c>
      <c r="H91" s="14" t="n">
        <v>26052003</v>
      </c>
      <c r="I91" s="16" t="inlineStr">
        <is>
          <t>SYD Mobile Display Supply</t>
        </is>
      </c>
      <c r="J91" s="14" t="inlineStr">
        <is>
          <t>INV-10426</t>
        </is>
      </c>
      <c r="K91" s="17" t="n">
        <v>26234</v>
      </c>
      <c r="L91" s="18">
        <f>IF($K91="","",IF($E91="Production",$K91-N($AD91),$K91))</f>
        <v/>
      </c>
      <c r="M91" s="18">
        <f>IF($E91="Production",IF($K91="","",$K91-(N($AF91)+N($AG91))),IF($E91="Consulting",IF($K91="","",$K91-(N($AL91)+N($AM91)+N($AN91))),""))</f>
        <v/>
      </c>
      <c r="N91" s="19">
        <f>IFERROR($M91/$K91,"")</f>
        <v/>
      </c>
      <c r="O91" s="13">
        <f>IF(COUNTA($B91:$K91)=0,"",IF($C91="","No date",IF(AND($C91&gt;=Lists!$B$3,$C91&lt;Lists!$B$4),"In FY27","Outside FY27")))</f>
        <v/>
      </c>
      <c r="P91" s="13">
        <f>IF($E91&lt;&gt;"WIP","",IF($H91="","",IF(COUNTIFS($E$2:$E$20000,"&lt;&gt;WIP",$H$2:$H$20000,$H91)&gt;0,"Job already invoiced","")))</f>
        <v/>
      </c>
      <c r="Q91" s="16" t="n"/>
      <c r="R91" s="16" t="n"/>
      <c r="S91" s="15" t="n"/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7" t="n"/>
      <c r="AD91" s="17" t="n"/>
      <c r="AE91" s="19">
        <f>IF($E91&lt;&gt;"Production","",IFERROR($AD91/$L91,""))</f>
        <v/>
      </c>
      <c r="AF91" s="17" t="n"/>
      <c r="AG91" s="17" t="n"/>
      <c r="AH91" s="16" t="inlineStr">
        <is>
          <t>https://cts.qwilr.com/26052003-DTTL-Costing-v1-0-0mJlWQroQJWo</t>
        </is>
      </c>
      <c r="AI91" s="17" t="n">
        <v>2984</v>
      </c>
      <c r="AJ91" s="17" t="n">
        <v>23250</v>
      </c>
      <c r="AK91" s="17" t="n"/>
      <c r="AL91" s="17" t="n">
        <v>602</v>
      </c>
      <c r="AM91" s="17" t="n">
        <v>19094.31</v>
      </c>
      <c r="AN91" s="17" t="n"/>
    </row>
    <row r="92" ht="15" customHeight="1">
      <c r="A92" s="13">
        <f>IF(COUNTA($B92:$K92)=0,"",ROW()-1)</f>
        <v/>
      </c>
      <c r="B92" s="14" t="inlineStr">
        <is>
          <t>Invoice</t>
        </is>
      </c>
      <c r="C92" s="15" t="n">
        <v>46171</v>
      </c>
      <c r="D92" s="16" t="inlineStr">
        <is>
          <t>Consulting</t>
        </is>
      </c>
      <c r="E92" s="13">
        <f>IF($B92="","",IF($B92="WIP","WIP",IFERROR(INDEX(Lists!$G$4:$G$10,MATCH($D92,Lists!$F$4:$F$10,0)),"Unmapped")))</f>
        <v/>
      </c>
      <c r="F92" s="16" t="inlineStr">
        <is>
          <t>In Progress</t>
        </is>
      </c>
      <c r="G92" s="16" t="inlineStr">
        <is>
          <t>DEWR</t>
        </is>
      </c>
      <c r="H92" s="14" t="n">
        <v>25102701</v>
      </c>
      <c r="I92" s="16" t="inlineStr">
        <is>
          <t>DEWR Studio Upgrade</t>
        </is>
      </c>
      <c r="J92" s="14" t="inlineStr">
        <is>
          <t>INV-10442</t>
        </is>
      </c>
      <c r="K92" s="17" t="n">
        <v>7563</v>
      </c>
      <c r="L92" s="18">
        <f>IF($K92="","",IF($E92="Production",$K92-N($AD92),$K92))</f>
        <v/>
      </c>
      <c r="M92" s="18">
        <f>IF($E92="Production",IF($K92="","",$K92-(N($AF92)+N($AG92))),IF($E92="Consulting",IF($K92="","",$K92-(N($AL92)+N($AM92)+N($AN92))),""))</f>
        <v/>
      </c>
      <c r="N92" s="19">
        <f>IFERROR($M92/$K92,"")</f>
        <v/>
      </c>
      <c r="O92" s="13">
        <f>IF(COUNTA($B92:$K92)=0,"",IF($C92="","No date",IF(AND($C92&gt;=Lists!$B$3,$C92&lt;Lists!$B$4),"In FY27","Outside FY27")))</f>
        <v/>
      </c>
      <c r="P92" s="13">
        <f>IF($E92&lt;&gt;"WIP","",IF($H92="","",IF(COUNTIFS($E$2:$E$20000,"&lt;&gt;WIP",$H$2:$H$20000,$H92)&gt;0,"Job already invoiced","")))</f>
        <v/>
      </c>
      <c r="Q92" s="16" t="inlineStr">
        <is>
          <t>Progress Claim 04</t>
        </is>
      </c>
      <c r="R92" s="16" t="n"/>
      <c r="S92" s="15" t="n"/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7" t="n"/>
      <c r="AD92" s="17" t="n"/>
      <c r="AE92" s="19">
        <f>IF($E92&lt;&gt;"Production","",IFERROR($AD92/$L92,""))</f>
        <v/>
      </c>
      <c r="AF92" s="17" t="n"/>
      <c r="AG92" s="17" t="n"/>
      <c r="AH92" s="16" t="inlineStr">
        <is>
          <t>https://cts.qwilr.com/25102701-DEWR-Studio-Upgrade-ESE25-143997-Rev-4-KTqWXx2QQz6f</t>
        </is>
      </c>
      <c r="AI92" s="17" t="n">
        <v>7563</v>
      </c>
      <c r="AJ92" s="17" t="n"/>
      <c r="AK92" s="17" t="n"/>
      <c r="AL92" s="17" t="n"/>
      <c r="AM92" s="17" t="n">
        <v>149604.26</v>
      </c>
      <c r="AN92" s="17" t="n"/>
    </row>
    <row r="93" ht="15" customHeight="1">
      <c r="A93" s="13">
        <f>IF(COUNTA($B93:$K93)=0,"",ROW()-1)</f>
        <v/>
      </c>
      <c r="B93" s="14" t="inlineStr">
        <is>
          <t>Invoice</t>
        </is>
      </c>
      <c r="C93" s="15" t="n">
        <v>46190</v>
      </c>
      <c r="D93" s="16" t="inlineStr">
        <is>
          <t>Integration</t>
        </is>
      </c>
      <c r="E93" s="13">
        <f>IF($B93="","",IF($B93="WIP","WIP",IFERROR(INDEX(Lists!$G$4:$G$10,MATCH($D93,Lists!$F$4:$F$10,0)),"Unmapped")))</f>
        <v/>
      </c>
      <c r="F93" s="16" t="inlineStr">
        <is>
          <t>Completed</t>
        </is>
      </c>
      <c r="G93" s="16" t="inlineStr">
        <is>
          <t>PwC</t>
        </is>
      </c>
      <c r="H93" s="14" t="n">
        <v>26051801</v>
      </c>
      <c r="I93" s="16" t="inlineStr">
        <is>
          <t>Mel Studio Equipment</t>
        </is>
      </c>
      <c r="J93" s="14" t="inlineStr">
        <is>
          <t>INV-10462</t>
        </is>
      </c>
      <c r="K93" s="17" t="n">
        <v>12039</v>
      </c>
      <c r="L93" s="18">
        <f>IF($K93="","",IF($E93="Production",$K93-N($AD93),$K93))</f>
        <v/>
      </c>
      <c r="M93" s="18">
        <f>IF($E93="Production",IF($K93="","",$K93-(N($AF93)+N($AG93))),IF($E93="Consulting",IF($K93="","",$K93-(N($AL93)+N($AM93)+N($AN93))),""))</f>
        <v/>
      </c>
      <c r="N93" s="19">
        <f>IFERROR($M93/$K93,"")</f>
        <v/>
      </c>
      <c r="O93" s="13">
        <f>IF(COUNTA($B93:$K93)=0,"",IF($C93="","No date",IF(AND($C93&gt;=Lists!$B$3,$C93&lt;Lists!$B$4),"In FY27","Outside FY27")))</f>
        <v/>
      </c>
      <c r="P93" s="13">
        <f>IF($E93&lt;&gt;"WIP","",IF($H93="","",IF(COUNTIFS($E$2:$E$20000,"&lt;&gt;WIP",$H$2:$H$20000,$H93)&gt;0,"Job already invoiced","")))</f>
        <v/>
      </c>
      <c r="Q93" s="16" t="n"/>
      <c r="R93" s="16" t="n"/>
      <c r="S93" s="15" t="n"/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7" t="n"/>
      <c r="AD93" s="17" t="n"/>
      <c r="AE93" s="19">
        <f>IF($E93&lt;&gt;"Production","",IFERROR($AD93/$L93,""))</f>
        <v/>
      </c>
      <c r="AF93" s="17" t="n"/>
      <c r="AG93" s="17" t="n"/>
      <c r="AH93" s="16" t="inlineStr">
        <is>
          <t>https://cts.qwilr.com/26051801-PwC-Costing-v3-0-HUL2JaYQCO39</t>
        </is>
      </c>
      <c r="AI93" s="17" t="n">
        <v>289</v>
      </c>
      <c r="AJ93" s="17" t="n">
        <v>11750</v>
      </c>
      <c r="AK93" s="17" t="n"/>
      <c r="AL93" s="17" t="n">
        <v>237</v>
      </c>
      <c r="AM93" s="17" t="n">
        <v>8810</v>
      </c>
      <c r="AN93" s="17" t="n"/>
    </row>
    <row r="94" ht="15" customHeight="1">
      <c r="A94" s="13">
        <f>IF(COUNTA($B94:$K94)=0,"",ROW()-1)</f>
        <v/>
      </c>
      <c r="B94" s="14" t="inlineStr">
        <is>
          <t>Invoice</t>
        </is>
      </c>
      <c r="C94" s="15" t="n">
        <v>46190</v>
      </c>
      <c r="D94" s="16" t="inlineStr">
        <is>
          <t>Integration</t>
        </is>
      </c>
      <c r="E94" s="13">
        <f>IF($B94="","",IF($B94="WIP","WIP",IFERROR(INDEX(Lists!$G$4:$G$10,MATCH($D94,Lists!$F$4:$F$10,0)),"Unmapped")))</f>
        <v/>
      </c>
      <c r="F94" s="16" t="inlineStr">
        <is>
          <t>Closed</t>
        </is>
      </c>
      <c r="G94" s="16" t="inlineStr">
        <is>
          <t>PwC</t>
        </is>
      </c>
      <c r="H94" s="14" t="n">
        <v>26043003</v>
      </c>
      <c r="I94" s="16" t="inlineStr">
        <is>
          <t xml:space="preserve">Screen Replacements (SYD/MEL) </t>
        </is>
      </c>
      <c r="J94" s="14" t="inlineStr">
        <is>
          <t>INV-10461</t>
        </is>
      </c>
      <c r="K94" s="17" t="n">
        <v>96068</v>
      </c>
      <c r="L94" s="18">
        <f>IF($K94="","",IF($E94="Production",$K94-N($AD94),$K94))</f>
        <v/>
      </c>
      <c r="M94" s="18">
        <f>IF($E94="Production",IF($K94="","",$K94-(N($AF94)+N($AG94))),IF($E94="Consulting",IF($K94="","",$K94-(N($AL94)+N($AM94)+N($AN94))),""))</f>
        <v/>
      </c>
      <c r="N94" s="19">
        <f>IFERROR($M94/$K94,"")</f>
        <v/>
      </c>
      <c r="O94" s="13">
        <f>IF(COUNTA($B94:$K94)=0,"",IF($C94="","No date",IF(AND($C94&gt;=Lists!$B$3,$C94&lt;Lists!$B$4),"In FY27","Outside FY27")))</f>
        <v/>
      </c>
      <c r="P94" s="13">
        <f>IF($E94&lt;&gt;"WIP","",IF($H94="","",IF(COUNTIFS($E$2:$E$20000,"&lt;&gt;WIP",$H$2:$H$20000,$H94)&gt;0,"Job already invoiced","")))</f>
        <v/>
      </c>
      <c r="Q94" s="16" t="n"/>
      <c r="R94" s="16" t="n"/>
      <c r="S94" s="15" t="n"/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7" t="n"/>
      <c r="AD94" s="17" t="n"/>
      <c r="AE94" s="19">
        <f>IF($E94&lt;&gt;"Production","",IFERROR($AD94/$L94,""))</f>
        <v/>
      </c>
      <c r="AF94" s="17" t="n"/>
      <c r="AG94" s="17" t="n"/>
      <c r="AH94" s="16" t="inlineStr">
        <is>
          <t>https://cts.qwilr.com/26043003-PwC-Costing-v1-0-LoPgcYilSIWh</t>
        </is>
      </c>
      <c r="AI94" s="17" t="n">
        <v>17766</v>
      </c>
      <c r="AJ94" s="17" t="n">
        <v>78301</v>
      </c>
      <c r="AK94" s="17" t="n"/>
      <c r="AL94" s="17" t="n">
        <v>13439</v>
      </c>
      <c r="AM94" s="17" t="n">
        <v>74537</v>
      </c>
      <c r="AN94" s="17" t="n"/>
    </row>
    <row r="95" ht="15" customHeight="1">
      <c r="A95" s="13">
        <f>IF(COUNTA($B95:$K95)=0,"",ROW()-1)</f>
        <v/>
      </c>
      <c r="B95" s="14" t="inlineStr">
        <is>
          <t>Invoice</t>
        </is>
      </c>
      <c r="C95" s="15" t="n">
        <v>46198</v>
      </c>
      <c r="D95" s="16" t="inlineStr">
        <is>
          <t>Integration</t>
        </is>
      </c>
      <c r="E95" s="13">
        <f>IF($B95="","",IF($B95="WIP","WIP",IFERROR(INDEX(Lists!$G$4:$G$10,MATCH($D95,Lists!$F$4:$F$10,0)),"Unmapped")))</f>
        <v/>
      </c>
      <c r="F95" s="16" t="inlineStr">
        <is>
          <t>Closed</t>
        </is>
      </c>
      <c r="G95" s="16" t="inlineStr">
        <is>
          <t>PwC</t>
        </is>
      </c>
      <c r="H95" s="14" t="n">
        <v>2606901</v>
      </c>
      <c r="I95" s="16" t="inlineStr">
        <is>
          <t>Sydney Office box drop</t>
        </is>
      </c>
      <c r="J95" s="14" t="inlineStr">
        <is>
          <t>INV-10500</t>
        </is>
      </c>
      <c r="K95" s="17" t="n">
        <v>561</v>
      </c>
      <c r="L95" s="18">
        <f>IF($K95="","",IF($E95="Production",$K95-N($AD95),$K95))</f>
        <v/>
      </c>
      <c r="M95" s="18">
        <f>IF($E95="Production",IF($K95="","",$K95-(N($AF95)+N($AG95))),IF($E95="Consulting",IF($K95="","",$K95-(N($AL95)+N($AM95)+N($AN95))),""))</f>
        <v/>
      </c>
      <c r="N95" s="19">
        <f>IFERROR($M95/$K95,"")</f>
        <v/>
      </c>
      <c r="O95" s="13">
        <f>IF(COUNTA($B95:$K95)=0,"",IF($C95="","No date",IF(AND($C95&gt;=Lists!$B$3,$C95&lt;Lists!$B$4),"In FY27","Outside FY27")))</f>
        <v/>
      </c>
      <c r="P95" s="13">
        <f>IF($E95&lt;&gt;"WIP","",IF($H95="","",IF(COUNTIFS($E$2:$E$20000,"&lt;&gt;WIP",$H$2:$H$20000,$H95)&gt;0,"Job already invoiced","")))</f>
        <v/>
      </c>
      <c r="Q95" s="16" t="n"/>
      <c r="R95" s="16" t="n"/>
      <c r="S95" s="15" t="n"/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7" t="n"/>
      <c r="AD95" s="17" t="n"/>
      <c r="AE95" s="19">
        <f>IF($E95&lt;&gt;"Production","",IFERROR($AD95/$L95,""))</f>
        <v/>
      </c>
      <c r="AF95" s="17" t="n"/>
      <c r="AG95" s="17" t="n"/>
      <c r="AH95" s="16" t="inlineStr">
        <is>
          <t>https://app.qwilr.com/#/page-view/6a336995d5bfec1e1c7a08ed</t>
        </is>
      </c>
      <c r="AI95" s="17" t="n">
        <v>41</v>
      </c>
      <c r="AJ95" s="17" t="n">
        <v>520</v>
      </c>
      <c r="AK95" s="17" t="n"/>
      <c r="AL95" s="17" t="n">
        <v>30.98</v>
      </c>
      <c r="AM95" s="17" t="n">
        <v>389</v>
      </c>
      <c r="AN95" s="17" t="n"/>
    </row>
    <row r="96" ht="15" customHeight="1">
      <c r="A96" s="13">
        <f>IF(COUNTA($B96:$K96)=0,"",ROW()-1)</f>
        <v/>
      </c>
      <c r="B96" s="14" t="inlineStr">
        <is>
          <t>Invoice</t>
        </is>
      </c>
      <c r="C96" s="15" t="n">
        <v>46198</v>
      </c>
      <c r="D96" s="16" t="inlineStr">
        <is>
          <t>Consulting</t>
        </is>
      </c>
      <c r="E96" s="13">
        <f>IF($B96="","",IF($B96="WIP","WIP",IFERROR(INDEX(Lists!$G$4:$G$10,MATCH($D96,Lists!$F$4:$F$10,0)),"Unmapped")))</f>
        <v/>
      </c>
      <c r="F96" s="16" t="inlineStr">
        <is>
          <t>In Progress</t>
        </is>
      </c>
      <c r="G96" s="16" t="inlineStr">
        <is>
          <t>YSG Studio</t>
        </is>
      </c>
      <c r="H96" s="14" t="n">
        <v>2602203</v>
      </c>
      <c r="I96" s="16" t="inlineStr">
        <is>
          <t xml:space="preserve">Orange Room Upgrade CONS </t>
        </is>
      </c>
      <c r="J96" s="14" t="inlineStr">
        <is>
          <t>INV-10499</t>
        </is>
      </c>
      <c r="K96" s="17" t="n">
        <v>2247.5</v>
      </c>
      <c r="L96" s="18">
        <f>IF($K96="","",IF($E96="Production",$K96-N($AD96),$K96))</f>
        <v/>
      </c>
      <c r="M96" s="18">
        <f>IF($E96="Production",IF($K96="","",$K96-(N($AF96)+N($AG96))),IF($E96="Consulting",IF($K96="","",$K96-(N($AL96)+N($AM96)+N($AN96))),""))</f>
        <v/>
      </c>
      <c r="N96" s="19">
        <f>IFERROR($M96/$K96,"")</f>
        <v/>
      </c>
      <c r="O96" s="13">
        <f>IF(COUNTA($B96:$K96)=0,"",IF($C96="","No date",IF(AND($C96&gt;=Lists!$B$3,$C96&lt;Lists!$B$4),"In FY27","Outside FY27")))</f>
        <v/>
      </c>
      <c r="P96" s="13">
        <f>IF($E96&lt;&gt;"WIP","",IF($H96="","",IF(COUNTIFS($E$2:$E$20000,"&lt;&gt;WIP",$H$2:$H$20000,$H96)&gt;0,"Job already invoiced","")))</f>
        <v/>
      </c>
      <c r="Q96" s="16" t="inlineStr">
        <is>
          <t>Progress Claim 03</t>
        </is>
      </c>
      <c r="R96" s="16" t="n"/>
      <c r="S96" s="15" t="n"/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7" t="n"/>
      <c r="AD96" s="17" t="n"/>
      <c r="AE96" s="19">
        <f>IF($E96&lt;&gt;"Production","",IFERROR($AD96/$L96,""))</f>
        <v/>
      </c>
      <c r="AF96" s="17" t="n"/>
      <c r="AG96" s="17" t="n"/>
      <c r="AH96" s="16" t="inlineStr">
        <is>
          <t>https://cts.qwilr.com/2602203-YSGStudio-Proposal-A-Yw8447MlTUK7</t>
        </is>
      </c>
      <c r="AI96" s="17" t="n">
        <v>2247.5</v>
      </c>
      <c r="AJ96" s="17" t="n"/>
      <c r="AK96" s="17" t="n"/>
      <c r="AL96" s="17" t="n">
        <v>4840.96</v>
      </c>
      <c r="AM96" s="17" t="n">
        <v>17621.33</v>
      </c>
      <c r="AN96" s="17" t="n"/>
    </row>
    <row r="97" ht="15" customHeight="1">
      <c r="A97" s="13">
        <f>IF(COUNTA($B97:$K97)=0,"",ROW()-1)</f>
        <v/>
      </c>
      <c r="B97" s="14" t="inlineStr">
        <is>
          <t>Invoice</t>
        </is>
      </c>
      <c r="C97" s="15" t="n">
        <v>46203</v>
      </c>
      <c r="D97" s="16" t="inlineStr">
        <is>
          <t>Integration</t>
        </is>
      </c>
      <c r="E97" s="13">
        <f>IF($B97="","",IF($B97="WIP","WIP",IFERROR(INDEX(Lists!$G$4:$G$10,MATCH($D97,Lists!$F$4:$F$10,0)),"Unmapped")))</f>
        <v/>
      </c>
      <c r="F97" s="16" t="inlineStr">
        <is>
          <t>Closed</t>
        </is>
      </c>
      <c r="G97" s="16" t="inlineStr">
        <is>
          <t>CoS</t>
        </is>
      </c>
      <c r="H97" s="14" t="n">
        <v>25111203</v>
      </c>
      <c r="I97" s="16" t="inlineStr">
        <is>
          <t>Barco E3 Sale</t>
        </is>
      </c>
      <c r="J97" s="14" t="inlineStr">
        <is>
          <t>INV-10510</t>
        </is>
      </c>
      <c r="K97" s="17" t="n">
        <v>159150</v>
      </c>
      <c r="L97" s="18">
        <f>IF($K97="","",IF($E97="Production",$K97-N($AD97),$K97))</f>
        <v/>
      </c>
      <c r="M97" s="18">
        <f>IF($E97="Production",IF($K97="","",$K97-(N($AF97)+N($AG97))),IF($E97="Consulting",IF($K97="","",$K97-(N($AL97)+N($AM97)+N($AN97))),""))</f>
        <v/>
      </c>
      <c r="N97" s="19">
        <f>IFERROR($M97/$K97,"")</f>
        <v/>
      </c>
      <c r="O97" s="13">
        <f>IF(COUNTA($B97:$K97)=0,"",IF($C97="","No date",IF(AND($C97&gt;=Lists!$B$3,$C97&lt;Lists!$B$4),"In FY27","Outside FY27")))</f>
        <v/>
      </c>
      <c r="P97" s="13">
        <f>IF($E97&lt;&gt;"WIP","",IF($H97="","",IF(COUNTIFS($E$2:$E$20000,"&lt;&gt;WIP",$H$2:$H$20000,$H97)&gt;0,"Job already invoiced","")))</f>
        <v/>
      </c>
      <c r="Q97" s="16" t="n"/>
      <c r="R97" s="16" t="n"/>
      <c r="S97" s="15" t="n"/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7" t="n"/>
      <c r="AD97" s="17" t="n"/>
      <c r="AE97" s="19">
        <f>IF($E97&lt;&gt;"Production","",IFERROR($AD97/$L97,""))</f>
        <v/>
      </c>
      <c r="AF97" s="17" t="n"/>
      <c r="AG97" s="17" t="n"/>
      <c r="AH97" s="16" t="inlineStr">
        <is>
          <t>https://cts.qwilr.com/25111203-CoS-Proposal-v3-0-SyP1MwQ2TcKi</t>
        </is>
      </c>
      <c r="AI97" s="17" t="n"/>
      <c r="AJ97" s="17" t="n">
        <v>159150</v>
      </c>
      <c r="AK97" s="17" t="n"/>
      <c r="AL97" s="17" t="n"/>
      <c r="AM97" s="17" t="n">
        <v>149604.26</v>
      </c>
      <c r="AN97" s="17" t="n"/>
    </row>
    <row r="98" ht="15" customHeight="1">
      <c r="A98" s="13">
        <f>IF(COUNTA($B98:$K98)=0,"",ROW()-1)</f>
        <v/>
      </c>
      <c r="B98" s="14" t="inlineStr">
        <is>
          <t>Invoice</t>
        </is>
      </c>
      <c r="C98" s="15" t="n">
        <v>46203</v>
      </c>
      <c r="D98" s="16" t="inlineStr">
        <is>
          <t>Integration</t>
        </is>
      </c>
      <c r="E98" s="13">
        <f>IF($B98="","",IF($B98="WIP","WIP",IFERROR(INDEX(Lists!$G$4:$G$10,MATCH($D98,Lists!$F$4:$F$10,0)),"Unmapped")))</f>
        <v/>
      </c>
      <c r="F98" s="16" t="inlineStr">
        <is>
          <t>Closed</t>
        </is>
      </c>
      <c r="G98" s="16" t="inlineStr">
        <is>
          <t>DTTL</t>
        </is>
      </c>
      <c r="H98" s="14" t="n">
        <v>26033003</v>
      </c>
      <c r="I98" s="16" t="inlineStr">
        <is>
          <t>8PSQ-Dream-Big-Microphones</t>
        </is>
      </c>
      <c r="J98" s="14" t="inlineStr">
        <is>
          <t>INV-10355</t>
        </is>
      </c>
      <c r="K98" s="17" t="n">
        <v>27408</v>
      </c>
      <c r="L98" s="18">
        <f>IF($K98="","",IF($E98="Production",$K98-N($AD98),$K98))</f>
        <v/>
      </c>
      <c r="M98" s="18">
        <f>IF($E98="Production",IF($K98="","",$K98-(N($AF98)+N($AG98))),IF($E98="Consulting",IF($K98="","",$K98-(N($AL98)+N($AM98)+N($AN98))),""))</f>
        <v/>
      </c>
      <c r="N98" s="19">
        <f>IFERROR($M98/$K98,"")</f>
        <v/>
      </c>
      <c r="O98" s="13">
        <f>IF(COUNTA($B98:$K98)=0,"",IF($C98="","No date",IF(AND($C98&gt;=Lists!$B$3,$C98&lt;Lists!$B$4),"In FY27","Outside FY27")))</f>
        <v/>
      </c>
      <c r="P98" s="13">
        <f>IF($E98&lt;&gt;"WIP","",IF($H98="","",IF(COUNTIFS($E$2:$E$20000,"&lt;&gt;WIP",$H$2:$H$20000,$H98)&gt;0,"Job already invoiced","")))</f>
        <v/>
      </c>
      <c r="Q98" s="16" t="inlineStr">
        <is>
          <t>Invoiced in DTTL Additionals</t>
        </is>
      </c>
      <c r="R98" s="16" t="n"/>
      <c r="S98" s="15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7" t="n"/>
      <c r="AD98" s="17" t="n"/>
      <c r="AE98" s="19">
        <f>IF($E98&lt;&gt;"Production","",IFERROR($AD98/$L98,""))</f>
        <v/>
      </c>
      <c r="AF98" s="17" t="n"/>
      <c r="AG98" s="17" t="n"/>
      <c r="AH98" s="16" t="inlineStr">
        <is>
          <t>26033003-Deloitte-8PSQ-Dream-Big-Microphones-v1-0-E9jd4w9T62Y1</t>
        </is>
      </c>
      <c r="AI98" s="17" t="n">
        <v>5904</v>
      </c>
      <c r="AJ98" s="17" t="n">
        <v>21504</v>
      </c>
      <c r="AK98" s="17" t="n"/>
      <c r="AL98" s="17" t="n">
        <v>4840.8</v>
      </c>
      <c r="AM98" s="17" t="n">
        <v>17621.2</v>
      </c>
      <c r="AN98" s="17" t="n"/>
    </row>
    <row r="99" ht="15" customHeight="1">
      <c r="A99" s="13">
        <f>IF(COUNTA($B99:$K99)=0,"",ROW()-1)</f>
        <v/>
      </c>
      <c r="B99" s="14" t="inlineStr">
        <is>
          <t>Invoice</t>
        </is>
      </c>
      <c r="C99" s="15" t="n">
        <v>46203</v>
      </c>
      <c r="D99" s="16" t="inlineStr">
        <is>
          <t>Integration</t>
        </is>
      </c>
      <c r="E99" s="13">
        <f>IF($B99="","",IF($B99="WIP","WIP",IFERROR(INDEX(Lists!$G$4:$G$10,MATCH($D99,Lists!$F$4:$F$10,0)),"Unmapped")))</f>
        <v/>
      </c>
      <c r="F99" s="16" t="inlineStr">
        <is>
          <t>In Progress</t>
        </is>
      </c>
      <c r="G99" s="16" t="inlineStr">
        <is>
          <t>DTTL</t>
        </is>
      </c>
      <c r="H99" s="14" t="n">
        <v>26033005</v>
      </c>
      <c r="I99" s="16" t="inlineStr">
        <is>
          <t>QQT &amp; 8PSQ_Crestron Connect Adaptor</t>
        </is>
      </c>
      <c r="J99" s="14" t="inlineStr">
        <is>
          <t>INV-10355</t>
        </is>
      </c>
      <c r="K99" s="17" t="n">
        <v>20128</v>
      </c>
      <c r="L99" s="18">
        <f>IF($K99="","",IF($E99="Production",$K99-N($AD99),$K99))</f>
        <v/>
      </c>
      <c r="M99" s="18">
        <f>IF($E99="Production",IF($K99="","",$K99-(N($AF99)+N($AG99))),IF($E99="Consulting",IF($K99="","",$K99-(N($AL99)+N($AM99)+N($AN99))),""))</f>
        <v/>
      </c>
      <c r="N99" s="19">
        <f>IFERROR($M99/$K99,"")</f>
        <v/>
      </c>
      <c r="O99" s="13">
        <f>IF(COUNTA($B99:$K99)=0,"",IF($C99="","No date",IF(AND($C99&gt;=Lists!$B$3,$C99&lt;Lists!$B$4),"In FY27","Outside FY27")))</f>
        <v/>
      </c>
      <c r="P99" s="13">
        <f>IF($E99&lt;&gt;"WIP","",IF($H99="","",IF(COUNTIFS($E$2:$E$20000,"&lt;&gt;WIP",$H$2:$H$20000,$H99)&gt;0,"Job already invoiced","")))</f>
        <v/>
      </c>
      <c r="Q99" s="16" t="n"/>
      <c r="R99" s="16" t="n"/>
      <c r="S99" s="15" t="n"/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7" t="n"/>
      <c r="AD99" s="17" t="n"/>
      <c r="AE99" s="19">
        <f>IF($E99&lt;&gt;"Production","",IFERROR($AD99/$L99,""))</f>
        <v/>
      </c>
      <c r="AF99" s="17" t="n"/>
      <c r="AG99" s="17" t="n"/>
      <c r="AH99" s="16" t="inlineStr">
        <is>
          <t>26033005_Deloitte QQT &amp; 8PSQ_Crestron Connect Adaptor_v1.0</t>
        </is>
      </c>
      <c r="AI99" s="17" t="n">
        <v>4105</v>
      </c>
      <c r="AJ99" s="17" t="n">
        <v>16023</v>
      </c>
      <c r="AK99" s="17" t="n"/>
      <c r="AL99" s="17" t="n">
        <v>3013.72</v>
      </c>
      <c r="AM99" s="17" t="n">
        <v>13493.15</v>
      </c>
      <c r="AN99" s="17" t="n"/>
    </row>
    <row r="100" ht="15" customHeight="1">
      <c r="A100" s="13">
        <f>IF(COUNTA($B100:$K100)=0,"",ROW()-1)</f>
        <v/>
      </c>
      <c r="B100" s="14" t="inlineStr">
        <is>
          <t>Invoice</t>
        </is>
      </c>
      <c r="C100" s="15" t="n">
        <v>46203</v>
      </c>
      <c r="D100" s="16" t="inlineStr">
        <is>
          <t>Integration</t>
        </is>
      </c>
      <c r="E100" s="13">
        <f>IF($B100="","",IF($B100="WIP","WIP",IFERROR(INDEX(Lists!$G$4:$G$10,MATCH($D100,Lists!$F$4:$F$10,0)),"Unmapped")))</f>
        <v/>
      </c>
      <c r="F100" s="16" t="inlineStr">
        <is>
          <t>In Progress</t>
        </is>
      </c>
      <c r="G100" s="16" t="inlineStr">
        <is>
          <t>DTTL</t>
        </is>
      </c>
      <c r="H100" s="14" t="n">
        <v>26033006</v>
      </c>
      <c r="I100" s="16" t="inlineStr">
        <is>
          <t>8PSQ_Bluetooth Audio</t>
        </is>
      </c>
      <c r="J100" s="14" t="inlineStr">
        <is>
          <t>INV-10355</t>
        </is>
      </c>
      <c r="K100" s="17" t="n">
        <v>5065</v>
      </c>
      <c r="L100" s="18">
        <f>IF($K100="","",IF($E100="Production",$K100-N($AD100),$K100))</f>
        <v/>
      </c>
      <c r="M100" s="18">
        <f>IF($E100="Production",IF($K100="","",$K100-(N($AF100)+N($AG100))),IF($E100="Consulting",IF($K100="","",$K100-(N($AL100)+N($AM100)+N($AN100))),""))</f>
        <v/>
      </c>
      <c r="N100" s="19">
        <f>IFERROR($M100/$K100,"")</f>
        <v/>
      </c>
      <c r="O100" s="13">
        <f>IF(COUNTA($B100:$K100)=0,"",IF($C100="","No date",IF(AND($C100&gt;=Lists!$B$3,$C100&lt;Lists!$B$4),"In FY27","Outside FY27")))</f>
        <v/>
      </c>
      <c r="P100" s="13">
        <f>IF($E100&lt;&gt;"WIP","",IF($H100="","",IF(COUNTIFS($E$2:$E$20000,"&lt;&gt;WIP",$H$2:$H$20000,$H100)&gt;0,"Job already invoiced","")))</f>
        <v/>
      </c>
      <c r="Q100" s="16" t="n"/>
      <c r="R100" s="16" t="n"/>
      <c r="S100" s="15" t="n"/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7" t="n"/>
      <c r="AD100" s="17" t="n"/>
      <c r="AE100" s="19">
        <f>IF($E100&lt;&gt;"Production","",IFERROR($AD100/$L100,""))</f>
        <v/>
      </c>
      <c r="AF100" s="17" t="n"/>
      <c r="AG100" s="17" t="n"/>
      <c r="AH100" s="16" t="inlineStr">
        <is>
          <t>26033006_Deloitte 8PSQ_Bluetooth Audio_v1.0</t>
        </is>
      </c>
      <c r="AI100" s="17" t="n">
        <v>2578</v>
      </c>
      <c r="AJ100" s="17" t="n">
        <v>2487</v>
      </c>
      <c r="AK100" s="17" t="n"/>
      <c r="AL100" s="17" t="n">
        <v>2114</v>
      </c>
      <c r="AM100" s="17" t="n">
        <v>2110</v>
      </c>
      <c r="AN100" s="17" t="n"/>
    </row>
    <row r="101" ht="15" customHeight="1">
      <c r="A101" s="13">
        <f>IF(COUNTA($B101:$K101)=0,"",ROW()-1)</f>
        <v/>
      </c>
      <c r="B101" s="14" t="inlineStr">
        <is>
          <t>Invoice</t>
        </is>
      </c>
      <c r="C101" s="15" t="n">
        <v>46203</v>
      </c>
      <c r="D101" s="16" t="inlineStr">
        <is>
          <t>Integration</t>
        </is>
      </c>
      <c r="E101" s="13">
        <f>IF($B101="","",IF($B101="WIP","WIP",IFERROR(INDEX(Lists!$G$4:$G$10,MATCH($D101,Lists!$F$4:$F$10,0)),"Unmapped")))</f>
        <v/>
      </c>
      <c r="F101" s="16" t="inlineStr">
        <is>
          <t>In Progress</t>
        </is>
      </c>
      <c r="G101" s="16" t="inlineStr">
        <is>
          <t>DTTL</t>
        </is>
      </c>
      <c r="H101" s="14" t="n">
        <v>26033007</v>
      </c>
      <c r="I101" s="16" t="inlineStr">
        <is>
          <t>QQT_Lv45 Seminar-Wheels repair</t>
        </is>
      </c>
      <c r="J101" s="14" t="inlineStr">
        <is>
          <t>INV-10355</t>
        </is>
      </c>
      <c r="K101" s="17" t="n">
        <v>354</v>
      </c>
      <c r="L101" s="18">
        <f>IF($K101="","",IF($E101="Production",$K101-N($AD101),$K101))</f>
        <v/>
      </c>
      <c r="M101" s="18">
        <f>IF($E101="Production",IF($K101="","",$K101-(N($AF101)+N($AG101))),IF($E101="Consulting",IF($K101="","",$K101-(N($AL101)+N($AM101)+N($AN101))),""))</f>
        <v/>
      </c>
      <c r="N101" s="19">
        <f>IFERROR($M101/$K101,"")</f>
        <v/>
      </c>
      <c r="O101" s="13">
        <f>IF(COUNTA($B101:$K101)=0,"",IF($C101="","No date",IF(AND($C101&gt;=Lists!$B$3,$C101&lt;Lists!$B$4),"In FY27","Outside FY27")))</f>
        <v/>
      </c>
      <c r="P101" s="13">
        <f>IF($E101&lt;&gt;"WIP","",IF($H101="","",IF(COUNTIFS($E$2:$E$20000,"&lt;&gt;WIP",$H$2:$H$20000,$H101)&gt;0,"Job already invoiced","")))</f>
        <v/>
      </c>
      <c r="Q101" s="16" t="n"/>
      <c r="R101" s="16" t="n"/>
      <c r="S101" s="15" t="n"/>
      <c r="T101" s="14" t="n"/>
      <c r="U101" s="14" t="n"/>
      <c r="V101" s="14" t="n"/>
      <c r="W101" s="14" t="n"/>
      <c r="X101" s="14" t="n"/>
      <c r="Y101" s="14" t="n"/>
      <c r="Z101" s="14" t="n"/>
      <c r="AA101" s="14" t="n"/>
      <c r="AB101" s="14" t="n"/>
      <c r="AC101" s="17" t="n"/>
      <c r="AD101" s="17" t="n"/>
      <c r="AE101" s="19">
        <f>IF($E101&lt;&gt;"Production","",IFERROR($AD101/$L101,""))</f>
        <v/>
      </c>
      <c r="AF101" s="17" t="n"/>
      <c r="AG101" s="17" t="n"/>
      <c r="AH101" s="16" t="inlineStr">
        <is>
          <t>26033007_Deloitte QQT_Lv45 Seminar-Wheels repair_v1.0</t>
        </is>
      </c>
      <c r="AI101" s="17" t="n"/>
      <c r="AJ101" s="17" t="n">
        <v>354</v>
      </c>
      <c r="AK101" s="17" t="n"/>
      <c r="AL101" s="17" t="n"/>
      <c r="AM101" s="17" t="n">
        <v>289.42</v>
      </c>
      <c r="AN101" s="17" t="n"/>
    </row>
    <row r="102" ht="15" customHeight="1">
      <c r="A102" s="13">
        <f>IF(COUNTA($B102:$K102)=0,"",ROW()-1)</f>
        <v/>
      </c>
      <c r="B102" s="14" t="inlineStr">
        <is>
          <t>Invoice</t>
        </is>
      </c>
      <c r="C102" s="15" t="n">
        <v>46209</v>
      </c>
      <c r="D102" s="16" t="inlineStr">
        <is>
          <t>Integration</t>
        </is>
      </c>
      <c r="E102" s="13">
        <f>IF($B102="","",IF($B102="WIP","WIP",IFERROR(INDEX(Lists!$G$4:$G$10,MATCH($D102,Lists!$F$4:$F$10,0)),"Unmapped")))</f>
        <v/>
      </c>
      <c r="F102" s="16" t="inlineStr">
        <is>
          <t>Closed</t>
        </is>
      </c>
      <c r="G102" s="16" t="inlineStr">
        <is>
          <t>HP Poly - BAE</t>
        </is>
      </c>
      <c r="H102" s="14" t="n">
        <v>26051301</v>
      </c>
      <c r="I102" s="16" t="inlineStr">
        <is>
          <t>Phone Mod</t>
        </is>
      </c>
      <c r="J102" s="14" t="inlineStr">
        <is>
          <t>INV-10516</t>
        </is>
      </c>
      <c r="K102" s="17" t="n">
        <v>1161</v>
      </c>
      <c r="L102" s="18">
        <f>IF($K102="","",IF($E102="Production",$K102-N($AD102),$K102))</f>
        <v/>
      </c>
      <c r="M102" s="18">
        <f>IF($E102="Production",IF($K102="","",$K102-(N($AF102)+N($AG102))),IF($E102="Consulting",IF($K102="","",$K102-(N($AL102)+N($AM102)+N($AN102))),""))</f>
        <v/>
      </c>
      <c r="N102" s="19">
        <f>IFERROR($M102/$K102,"")</f>
        <v/>
      </c>
      <c r="O102" s="13">
        <f>IF(COUNTA($B102:$K102)=0,"",IF($C102="","No date",IF(AND($C102&gt;=Lists!$B$3,$C102&lt;Lists!$B$4),"In FY27","Outside FY27")))</f>
        <v/>
      </c>
      <c r="P102" s="13">
        <f>IF($E102&lt;&gt;"WIP","",IF($H102="","",IF(COUNTIFS($E$2:$E$20000,"&lt;&gt;WIP",$H$2:$H$20000,$H102)&gt;0,"Job already invoiced","")))</f>
        <v/>
      </c>
      <c r="Q102" s="16" t="n"/>
      <c r="R102" s="16" t="n"/>
      <c r="S102" s="15" t="n"/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7" t="n"/>
      <c r="AD102" s="17" t="n"/>
      <c r="AE102" s="19">
        <f>IF($E102&lt;&gt;"Production","",IFERROR($AD102/$L102,""))</f>
        <v/>
      </c>
      <c r="AF102" s="17" t="n"/>
      <c r="AG102" s="17" t="n"/>
      <c r="AH102" s="16" t="inlineStr">
        <is>
          <t>https://cts.qwilr.com/26051301-HP-BAE-PhoneMod-v1-0-nL48O1eQt25h</t>
        </is>
      </c>
      <c r="AI102" s="17" t="n">
        <v>552</v>
      </c>
      <c r="AJ102" s="17" t="n">
        <v>609</v>
      </c>
      <c r="AK102" s="17" t="n"/>
      <c r="AL102" s="17" t="n">
        <v>486</v>
      </c>
      <c r="AM102" s="17" t="n">
        <v>402</v>
      </c>
      <c r="AN102" s="17" t="n"/>
    </row>
    <row r="103" ht="15" customHeight="1">
      <c r="A103" s="13">
        <f>IF(COUNTA($B103:$K103)=0,"",ROW()-1)</f>
        <v/>
      </c>
      <c r="B103" s="14" t="inlineStr">
        <is>
          <t>Invoice</t>
        </is>
      </c>
      <c r="C103" s="15" t="n">
        <v>46233</v>
      </c>
      <c r="D103" s="16" t="inlineStr">
        <is>
          <t>Integration</t>
        </is>
      </c>
      <c r="E103" s="13">
        <f>IF($B103="","",IF($B103="WIP","WIP",IFERROR(INDEX(Lists!$G$4:$G$10,MATCH($D103,Lists!$F$4:$F$10,0)),"Unmapped")))</f>
        <v/>
      </c>
      <c r="F103" s="16" t="inlineStr">
        <is>
          <t>Completed</t>
        </is>
      </c>
      <c r="G103" s="16" t="inlineStr">
        <is>
          <t>DTTL</t>
        </is>
      </c>
      <c r="H103" s="14" t="n">
        <v>26061501</v>
      </c>
      <c r="I103" s="16" t="inlineStr">
        <is>
          <t>MEL Lv29 Display Supply</t>
        </is>
      </c>
      <c r="J103" s="14" t="inlineStr">
        <is>
          <t>INV-10546</t>
        </is>
      </c>
      <c r="K103" s="17" t="n">
        <v>3890</v>
      </c>
      <c r="L103" s="18">
        <f>IF($K103="","",IF($E103="Production",$K103-N($AD103),$K103))</f>
        <v/>
      </c>
      <c r="M103" s="18">
        <f>IF($E103="Production",IF($K103="","",$K103-(N($AF103)+N($AG103))),IF($E103="Consulting",IF($K103="","",$K103-(N($AL103)+N($AM103)+N($AN103))),""))</f>
        <v/>
      </c>
      <c r="N103" s="19">
        <f>IFERROR($M103/$K103,"")</f>
        <v/>
      </c>
      <c r="O103" s="13">
        <f>IF(COUNTA($B103:$K103)=0,"",IF($C103="","No date",IF(AND($C103&gt;=Lists!$B$3,$C103&lt;Lists!$B$4),"In FY27","Outside FY27")))</f>
        <v/>
      </c>
      <c r="P103" s="13">
        <f>IF($E103&lt;&gt;"WIP","",IF($H103="","",IF(COUNTIFS($E$2:$E$20000,"&lt;&gt;WIP",$H$2:$H$20000,$H103)&gt;0,"Job already invoiced","")))</f>
        <v/>
      </c>
      <c r="Q103" s="16" t="n"/>
      <c r="R103" s="16" t="n"/>
      <c r="S103" s="15" t="n"/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7" t="n"/>
      <c r="AD103" s="17" t="n"/>
      <c r="AE103" s="19">
        <f>IF($E103&lt;&gt;"Production","",IFERROR($AD103/$L103,""))</f>
        <v/>
      </c>
      <c r="AF103" s="17" t="n"/>
      <c r="AG103" s="17" t="n"/>
      <c r="AH103" s="16" t="inlineStr">
        <is>
          <t>https://cts.qwilr.com/26061501-DTTL-Costing-v1-0-3HdQMOES9eDo</t>
        </is>
      </c>
      <c r="AI103" s="17" t="n">
        <v>1639</v>
      </c>
      <c r="AJ103" s="17" t="n">
        <v>2251</v>
      </c>
      <c r="AK103" s="17" t="n"/>
      <c r="AL103" s="17" t="n">
        <v>1344.2</v>
      </c>
      <c r="AM103" s="17" t="n">
        <v>1688.07</v>
      </c>
      <c r="AN103" s="17" t="n"/>
    </row>
    <row r="104" ht="15" customHeight="1">
      <c r="A104" s="13">
        <f>IF(COUNTA($B104:$K104)=0,"",ROW()-1)</f>
        <v/>
      </c>
      <c r="B104" s="14" t="inlineStr">
        <is>
          <t>Invoice</t>
        </is>
      </c>
      <c r="C104" s="15" t="n">
        <v>46233</v>
      </c>
      <c r="D104" s="16" t="inlineStr">
        <is>
          <t>Integration</t>
        </is>
      </c>
      <c r="E104" s="13">
        <f>IF($B104="","",IF($B104="WIP","WIP",IFERROR(INDEX(Lists!$G$4:$G$10,MATCH($D104,Lists!$F$4:$F$10,0)),"Unmapped")))</f>
        <v/>
      </c>
      <c r="F104" s="16" t="inlineStr">
        <is>
          <t>In Progress</t>
        </is>
      </c>
      <c r="G104" s="16" t="inlineStr">
        <is>
          <t>DTTL</t>
        </is>
      </c>
      <c r="H104" s="14" t="n">
        <v>2605605</v>
      </c>
      <c r="I104" s="16" t="inlineStr">
        <is>
          <t xml:space="preserve">HBA AV Fitout </t>
        </is>
      </c>
      <c r="J104" s="14" t="inlineStr">
        <is>
          <t>INV-10546</t>
        </is>
      </c>
      <c r="K104" s="17" t="n">
        <v>60348</v>
      </c>
      <c r="L104" s="18">
        <f>IF($K104="","",IF($E104="Production",$K104-N($AD104),$K104))</f>
        <v/>
      </c>
      <c r="M104" s="18">
        <f>IF($E104="Production",IF($K104="","",$K104-(N($AF104)+N($AG104))),IF($E104="Consulting",IF($K104="","",$K104-(N($AL104)+N($AM104)+N($AN104))),""))</f>
        <v/>
      </c>
      <c r="N104" s="19">
        <f>IFERROR($M104/$K104,"")</f>
        <v/>
      </c>
      <c r="O104" s="13">
        <f>IF(COUNTA($B104:$K104)=0,"",IF($C104="","No date",IF(AND($C104&gt;=Lists!$B$3,$C104&lt;Lists!$B$4),"In FY27","Outside FY27")))</f>
        <v/>
      </c>
      <c r="P104" s="13">
        <f>IF($E104&lt;&gt;"WIP","",IF($H104="","",IF(COUNTIFS($E$2:$E$20000,"&lt;&gt;WIP",$H$2:$H$20000,$H104)&gt;0,"Job already invoiced","")))</f>
        <v/>
      </c>
      <c r="Q104" s="16" t="n"/>
      <c r="R104" s="16" t="n"/>
      <c r="S104" s="15" t="n"/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7" t="n"/>
      <c r="AD104" s="17" t="n"/>
      <c r="AE104" s="19">
        <f>IF($E104&lt;&gt;"Production","",IFERROR($AD104/$L104,""))</f>
        <v/>
      </c>
      <c r="AF104" s="17" t="n"/>
      <c r="AG104" s="17" t="n"/>
      <c r="AH104" s="16" t="inlineStr">
        <is>
          <t>https://cts.qwilr.com/2605605-DTTL-Hobart-v3-2-6eP2dgISRMec</t>
        </is>
      </c>
      <c r="AI104" s="17" t="n">
        <v>12985</v>
      </c>
      <c r="AJ104" s="17" t="n">
        <v>47362</v>
      </c>
      <c r="AK104" s="17" t="n"/>
      <c r="AL104" s="17" t="n">
        <v>10485</v>
      </c>
      <c r="AM104" s="17" t="n">
        <v>25392</v>
      </c>
      <c r="AN104" s="17" t="n"/>
    </row>
    <row r="105" ht="15" customHeight="1">
      <c r="A105" s="13">
        <f>IF(COUNTA($B105:$K105)=0,"",ROW()-1)</f>
        <v/>
      </c>
      <c r="B105" s="14" t="inlineStr">
        <is>
          <t>Invoice</t>
        </is>
      </c>
      <c r="C105" s="15" t="n">
        <v>46233</v>
      </c>
      <c r="D105" s="16" t="inlineStr">
        <is>
          <t>Integration</t>
        </is>
      </c>
      <c r="E105" s="13">
        <f>IF($B105="","",IF($B105="WIP","WIP",IFERROR(INDEX(Lists!$G$4:$G$10,MATCH($D105,Lists!$F$4:$F$10,0)),"Unmapped")))</f>
        <v/>
      </c>
      <c r="F105" s="16" t="inlineStr">
        <is>
          <t>Closed</t>
        </is>
      </c>
      <c r="G105" s="16" t="inlineStr">
        <is>
          <t>DTTL</t>
        </is>
      </c>
      <c r="H105" s="14" t="n">
        <v>26052003</v>
      </c>
      <c r="I105" s="16" t="inlineStr">
        <is>
          <t>SYD Mobile Display Supply</t>
        </is>
      </c>
      <c r="J105" s="14" t="inlineStr">
        <is>
          <t>INV-10546</t>
        </is>
      </c>
      <c r="K105" s="17" t="n">
        <v>7705</v>
      </c>
      <c r="L105" s="18">
        <f>IF($K105="","",IF($E105="Production",$K105-N($AD105),$K105))</f>
        <v/>
      </c>
      <c r="M105" s="18">
        <f>IF($E105="Production",IF($K105="","",$K105-(N($AF105)+N($AG105))),IF($E105="Consulting",IF($K105="","",$K105-(N($AL105)+N($AM105)+N($AN105))),""))</f>
        <v/>
      </c>
      <c r="N105" s="19">
        <f>IFERROR($M105/$K105,"")</f>
        <v/>
      </c>
      <c r="O105" s="13">
        <f>IF(COUNTA($B105:$K105)=0,"",IF($C105="","No date",IF(AND($C105&gt;=Lists!$B$3,$C105&lt;Lists!$B$4),"In FY27","Outside FY27")))</f>
        <v/>
      </c>
      <c r="P105" s="13">
        <f>IF($E105&lt;&gt;"WIP","",IF($H105="","",IF(COUNTIFS($E$2:$E$20000,"&lt;&gt;WIP",$H$2:$H$20000,$H105)&gt;0,"Job already invoiced","")))</f>
        <v/>
      </c>
      <c r="Q105" s="16" t="inlineStr">
        <is>
          <t>Variation for slot in PC's</t>
        </is>
      </c>
      <c r="R105" s="16" t="n"/>
      <c r="S105" s="15" t="n"/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7" t="n"/>
      <c r="AD105" s="17" t="n"/>
      <c r="AE105" s="19">
        <f>IF($E105&lt;&gt;"Production","",IFERROR($AD105/$L105,""))</f>
        <v/>
      </c>
      <c r="AF105" s="17" t="n"/>
      <c r="AG105" s="17" t="n"/>
      <c r="AH105" s="16" t="inlineStr">
        <is>
          <t>https://cts.qwilr.com/26052003-DTTL-Costing-VQ01-v1-0-jIrM6h3CT1Ws</t>
        </is>
      </c>
      <c r="AI105" s="17" t="n">
        <v>70</v>
      </c>
      <c r="AJ105" s="17" t="n">
        <v>7635</v>
      </c>
      <c r="AK105" s="17" t="n"/>
      <c r="AL105" s="17" t="n">
        <v>57.27</v>
      </c>
      <c r="AM105" s="17" t="n">
        <v>5727</v>
      </c>
      <c r="AN105" s="17" t="n"/>
    </row>
    <row r="106" ht="15" customHeight="1">
      <c r="A106" s="13">
        <f>IF(COUNTA($B106:$K106)=0,"",ROW()-1)</f>
        <v/>
      </c>
      <c r="B106" s="14" t="inlineStr">
        <is>
          <t>Invoice</t>
        </is>
      </c>
      <c r="C106" s="15" t="n">
        <v>46234</v>
      </c>
      <c r="D106" s="16" t="inlineStr">
        <is>
          <t>Integration</t>
        </is>
      </c>
      <c r="E106" s="13">
        <f>IF($B106="","",IF($B106="WIP","WIP",IFERROR(INDEX(Lists!$G$4:$G$10,MATCH($D106,Lists!$F$4:$F$10,0)),"Unmapped")))</f>
        <v/>
      </c>
      <c r="F106" s="16" t="inlineStr">
        <is>
          <t>Closed</t>
        </is>
      </c>
      <c r="G106" s="16" t="inlineStr">
        <is>
          <t>Aware Super</t>
        </is>
      </c>
      <c r="H106" s="14" t="n">
        <v>26072101</v>
      </c>
      <c r="I106" s="16" t="inlineStr">
        <is>
          <t>MEL 17.02 Amp Replacement</t>
        </is>
      </c>
      <c r="J106" s="14" t="inlineStr">
        <is>
          <t>INV-10549</t>
        </is>
      </c>
      <c r="K106" s="17" t="n">
        <v>6137</v>
      </c>
      <c r="L106" s="18">
        <f>IF($K106="","",IF($E106="Production",$K106-N($AD106),$K106))</f>
        <v/>
      </c>
      <c r="M106" s="18">
        <f>IF($E106="Production",IF($K106="","",$K106-(N($AF106)+N($AG106))),IF($E106="Consulting",IF($K106="","",$K106-(N($AL106)+N($AM106)+N($AN106))),""))</f>
        <v/>
      </c>
      <c r="N106" s="19">
        <f>IFERROR($M106/$K106,"")</f>
        <v/>
      </c>
      <c r="O106" s="13">
        <f>IF(COUNTA($B106:$K106)=0,"",IF($C106="","No date",IF(AND($C106&gt;=Lists!$B$3,$C106&lt;Lists!$B$4),"In FY27","Outside FY27")))</f>
        <v/>
      </c>
      <c r="P106" s="13">
        <f>IF($E106&lt;&gt;"WIP","",IF($H106="","",IF(COUNTIFS($E$2:$E$20000,"&lt;&gt;WIP",$H$2:$H$20000,$H106)&gt;0,"Job already invoiced","")))</f>
        <v/>
      </c>
      <c r="Q106" s="16" t="n"/>
      <c r="R106" s="16" t="n"/>
      <c r="S106" s="15" t="n"/>
      <c r="T106" s="14" t="n"/>
      <c r="U106" s="14" t="n"/>
      <c r="V106" s="14" t="n"/>
      <c r="W106" s="14" t="n"/>
      <c r="X106" s="14" t="n"/>
      <c r="Y106" s="14" t="n"/>
      <c r="Z106" s="14" t="n"/>
      <c r="AA106" s="14" t="n"/>
      <c r="AB106" s="14" t="n"/>
      <c r="AC106" s="17" t="n"/>
      <c r="AD106" s="17" t="n"/>
      <c r="AE106" s="19">
        <f>IF($E106&lt;&gt;"Production","",IFERROR($AD106/$L106,""))</f>
        <v/>
      </c>
      <c r="AF106" s="17" t="n"/>
      <c r="AG106" s="17" t="n"/>
      <c r="AH106" s="16" t="inlineStr">
        <is>
          <t>https://corptechservices.sharepoint.com/:b:/s/TeamIntegration/IQBagqp7IMy9QaQ1UUIv4eRPASus3A84m0lYjrSHFwHEyt0?e=9PLTPA</t>
        </is>
      </c>
      <c r="AI106" s="17" t="n">
        <v>920</v>
      </c>
      <c r="AJ106" s="17" t="n">
        <v>5217</v>
      </c>
      <c r="AK106" s="17" t="n"/>
      <c r="AL106" s="17" t="n">
        <v>549</v>
      </c>
      <c r="AM106" s="17" t="n">
        <v>3913</v>
      </c>
      <c r="AN106" s="17" t="n"/>
    </row>
    <row r="107" ht="15" customHeight="1">
      <c r="A107" s="13">
        <f>IF(COUNTA($B107:$K107)=0,"",ROW()-1)</f>
        <v/>
      </c>
      <c r="B107" s="14" t="inlineStr">
        <is>
          <t>Invoice</t>
        </is>
      </c>
      <c r="C107" s="15" t="n">
        <v>46234</v>
      </c>
      <c r="D107" s="16" t="inlineStr">
        <is>
          <t>Integration</t>
        </is>
      </c>
      <c r="E107" s="13">
        <f>IF($B107="","",IF($B107="WIP","WIP",IFERROR(INDEX(Lists!$G$4:$G$10,MATCH($D107,Lists!$F$4:$F$10,0)),"Unmapped")))</f>
        <v/>
      </c>
      <c r="F107" s="16" t="inlineStr">
        <is>
          <t>Closed</t>
        </is>
      </c>
      <c r="G107" s="16" t="inlineStr">
        <is>
          <t>APA</t>
        </is>
      </c>
      <c r="H107" s="14" t="n">
        <v>2606101</v>
      </c>
      <c r="I107" s="16" t="inlineStr">
        <is>
          <t>Young Eptura Proxyclick Licence Renewal</t>
        </is>
      </c>
      <c r="J107" s="14" t="inlineStr">
        <is>
          <t>INV-10548</t>
        </is>
      </c>
      <c r="K107" s="17" t="n">
        <v>4205</v>
      </c>
      <c r="L107" s="18">
        <f>IF($K107="","",IF($E107="Production",$K107-N($AD107),$K107))</f>
        <v/>
      </c>
      <c r="M107" s="18">
        <f>IF($E107="Production",IF($K107="","",$K107-(N($AF107)+N($AG107))),IF($E107="Consulting",IF($K107="","",$K107-(N($AL107)+N($AM107)+N($AN107))),""))</f>
        <v/>
      </c>
      <c r="N107" s="19">
        <f>IFERROR($M107/$K107,"")</f>
        <v/>
      </c>
      <c r="O107" s="13">
        <f>IF(COUNTA($B107:$K107)=0,"",IF($C107="","No date",IF(AND($C107&gt;=Lists!$B$3,$C107&lt;Lists!$B$4),"In FY27","Outside FY27")))</f>
        <v/>
      </c>
      <c r="P107" s="13">
        <f>IF($E107&lt;&gt;"WIP","",IF($H107="","",IF(COUNTIFS($E$2:$E$20000,"&lt;&gt;WIP",$H$2:$H$20000,$H107)&gt;0,"Job already invoiced","")))</f>
        <v/>
      </c>
      <c r="Q107" s="16" t="inlineStr">
        <is>
          <t>01/03/2027 to 29/02/2028</t>
        </is>
      </c>
      <c r="R107" s="16" t="n"/>
      <c r="S107" s="15" t="n"/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7" t="n"/>
      <c r="AD107" s="17" t="n"/>
      <c r="AE107" s="19">
        <f>IF($E107&lt;&gt;"Production","",IFERROR($AD107/$L107,""))</f>
        <v/>
      </c>
      <c r="AF107" s="17" t="n"/>
      <c r="AG107" s="17" t="n"/>
      <c r="AH107" s="16" t="inlineStr">
        <is>
          <t>https://cts.qwilr.com/2606101-APA-Quotation-v1-0-QyyRipuR5uzy</t>
        </is>
      </c>
      <c r="AI107" s="17" t="n"/>
      <c r="AJ107" s="17" t="n"/>
      <c r="AK107" s="17" t="n">
        <v>4205</v>
      </c>
      <c r="AL107" s="17" t="n"/>
      <c r="AM107" s="17" t="n"/>
      <c r="AN107" s="17" t="n">
        <v>3364</v>
      </c>
    </row>
    <row r="108" ht="15" customHeight="1">
      <c r="A108" s="13">
        <f>IF(COUNTA($B108:$K108)=0,"",ROW()-1)</f>
        <v/>
      </c>
      <c r="B108" s="14" t="inlineStr">
        <is>
          <t>Invoice</t>
        </is>
      </c>
      <c r="C108" s="15" t="n">
        <v>46234</v>
      </c>
      <c r="D108" s="16" t="inlineStr">
        <is>
          <t>Integration</t>
        </is>
      </c>
      <c r="E108" s="13">
        <f>IF($B108="","",IF($B108="WIP","WIP",IFERROR(INDEX(Lists!$G$4:$G$10,MATCH($D108,Lists!$F$4:$F$10,0)),"Unmapped")))</f>
        <v/>
      </c>
      <c r="F108" s="16" t="inlineStr">
        <is>
          <t>Closed</t>
        </is>
      </c>
      <c r="G108" s="16" t="inlineStr">
        <is>
          <t>YSG Studio</t>
        </is>
      </c>
      <c r="H108" s="14" t="n">
        <v>26071304</v>
      </c>
      <c r="I108" s="16" t="inlineStr">
        <is>
          <t>Orange Room Upgrade INT</t>
        </is>
      </c>
      <c r="J108" s="14" t="inlineStr">
        <is>
          <t>INV-10547</t>
        </is>
      </c>
      <c r="K108" s="17" t="n">
        <v>4702</v>
      </c>
      <c r="L108" s="18">
        <f>IF($K108="","",IF($E108="Production",$K108-N($AD108),$K108))</f>
        <v/>
      </c>
      <c r="M108" s="18">
        <f>IF($E108="Production",IF($K108="","",$K108-(N($AF108)+N($AG108))),IF($E108="Consulting",IF($K108="","",$K108-(N($AL108)+N($AM108)+N($AN108))),""))</f>
        <v/>
      </c>
      <c r="N108" s="19">
        <f>IFERROR($M108/$K108,"")</f>
        <v/>
      </c>
      <c r="O108" s="13">
        <f>IF(COUNTA($B108:$K108)=0,"",IF($C108="","No date",IF(AND($C108&gt;=Lists!$B$3,$C108&lt;Lists!$B$4),"In FY27","Outside FY27")))</f>
        <v/>
      </c>
      <c r="P108" s="13">
        <f>IF($E108&lt;&gt;"WIP","",IF($H108="","",IF(COUNTIFS($E$2:$E$20000,"&lt;&gt;WIP",$H$2:$H$20000,$H108)&gt;0,"Job already invoiced","")))</f>
        <v/>
      </c>
      <c r="Q108" s="16" t="inlineStr">
        <is>
          <t>Invoice 1/2 Equipment only</t>
        </is>
      </c>
      <c r="R108" s="16" t="n"/>
      <c r="S108" s="15" t="n"/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7" t="n"/>
      <c r="AD108" s="17" t="n"/>
      <c r="AE108" s="19">
        <f>IF($E108&lt;&gt;"Production","",IFERROR($AD108/$L108,""))</f>
        <v/>
      </c>
      <c r="AF108" s="17" t="n"/>
      <c r="AG108" s="17" t="n"/>
      <c r="AH108" s="16" t="inlineStr">
        <is>
          <t>https://cts.qwilr.com/26071304-YSG-Costing-v1-0-FTAgpF5RoWQK</t>
        </is>
      </c>
      <c r="AI108" s="17" t="n"/>
      <c r="AJ108" s="17" t="n">
        <v>4702</v>
      </c>
      <c r="AK108" s="17" t="n"/>
      <c r="AL108" s="17" t="n"/>
      <c r="AM108" s="17" t="n">
        <v>3327.49</v>
      </c>
      <c r="AN108" s="17" t="n"/>
    </row>
    <row r="109" ht="15" customHeight="1">
      <c r="A109" s="13">
        <f>IF(COUNTA($B109:$K109)=0,"",ROW()-1)</f>
        <v/>
      </c>
      <c r="B109" s="14" t="inlineStr">
        <is>
          <t>Invoice</t>
        </is>
      </c>
      <c r="C109" s="15" t="n">
        <v>46261</v>
      </c>
      <c r="D109" s="16" t="inlineStr">
        <is>
          <t>Integration</t>
        </is>
      </c>
      <c r="E109" s="13">
        <f>IF($B109="","",IF($B109="WIP","WIP",IFERROR(INDEX(Lists!$G$4:$G$10,MATCH($D109,Lists!$F$4:$F$10,0)),"Unmapped")))</f>
        <v/>
      </c>
      <c r="F109" s="16" t="inlineStr">
        <is>
          <t>Completed</t>
        </is>
      </c>
      <c r="G109" s="16" t="inlineStr">
        <is>
          <t>Aware Super</t>
        </is>
      </c>
      <c r="H109" s="14" t="n">
        <v>2604704</v>
      </c>
      <c r="I109" s="16" t="inlineStr">
        <is>
          <t>SYD Seminar Room Audio Upgrade</t>
        </is>
      </c>
      <c r="J109" s="14" t="inlineStr">
        <is>
          <t>To be invoiced</t>
        </is>
      </c>
      <c r="K109" s="17" t="n">
        <v>202647</v>
      </c>
      <c r="L109" s="18">
        <f>IF($K109="","",IF($E109="Production",$K109-N($AD109),$K109))</f>
        <v/>
      </c>
      <c r="M109" s="18">
        <f>IF($E109="Production",IF($K109="","",$K109-(N($AF109)+N($AG109))),IF($E109="Consulting",IF($K109="","",$K109-(N($AL109)+N($AM109)+N($AN109))),""))</f>
        <v/>
      </c>
      <c r="N109" s="19">
        <f>IFERROR($M109/$K109,"")</f>
        <v/>
      </c>
      <c r="O109" s="13">
        <f>IF(COUNTA($B109:$K109)=0,"",IF($C109="","No date",IF(AND($C109&gt;=Lists!$B$3,$C109&lt;Lists!$B$4),"In FY27","Outside FY27")))</f>
        <v/>
      </c>
      <c r="P109" s="13">
        <f>IF($E109&lt;&gt;"WIP","",IF($H109="","",IF(COUNTIFS($E$2:$E$20000,"&lt;&gt;WIP",$H$2:$H$20000,$H109)&gt;0,"Job already invoiced","")))</f>
        <v/>
      </c>
      <c r="Q109" s="16" t="n"/>
      <c r="R109" s="16" t="n"/>
      <c r="S109" s="15" t="n"/>
      <c r="T109" s="14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7" t="n"/>
      <c r="AD109" s="17" t="n"/>
      <c r="AE109" s="19">
        <f>IF($E109&lt;&gt;"Production","",IFERROR($AD109/$L109,""))</f>
        <v/>
      </c>
      <c r="AF109" s="17" t="n"/>
      <c r="AG109" s="17" t="n"/>
      <c r="AH109" s="16" t="inlineStr">
        <is>
          <t>https://cts.qwilr.com/2604704-AwareSuper-Proposal-v4-0-ilNUnNxKQIui</t>
        </is>
      </c>
      <c r="AI109" s="17" t="n"/>
      <c r="AJ109" s="17" t="n"/>
      <c r="AK109" s="17" t="n"/>
      <c r="AL109" s="17" t="n"/>
      <c r="AM109" s="17" t="n">
        <v>177457.98</v>
      </c>
      <c r="AN109" s="17" t="n"/>
    </row>
    <row r="110" ht="15" customHeight="1">
      <c r="A110" s="13">
        <f>IF(COUNTA($B110:$K110)=0,"",ROW()-1)</f>
        <v/>
      </c>
      <c r="B110" s="14" t="inlineStr">
        <is>
          <t>Invoice</t>
        </is>
      </c>
      <c r="C110" s="15" t="n">
        <v>46254</v>
      </c>
      <c r="D110" s="16" t="inlineStr">
        <is>
          <t>Integration</t>
        </is>
      </c>
      <c r="E110" s="13">
        <f>IF($B110="","",IF($B110="WIP","WIP",IFERROR(INDEX(Lists!$G$4:$G$10,MATCH($D110,Lists!$F$4:$F$10,0)),"Unmapped")))</f>
        <v/>
      </c>
      <c r="F110" s="16" t="inlineStr">
        <is>
          <t>In Progress</t>
        </is>
      </c>
      <c r="G110" s="16" t="inlineStr">
        <is>
          <t>HP Poly - Data#3</t>
        </is>
      </c>
      <c r="H110" s="14" t="n">
        <v>26052102</v>
      </c>
      <c r="I110" s="16" t="inlineStr">
        <is>
          <t>AUSTRAC Phone Mods</t>
        </is>
      </c>
      <c r="J110" s="14" t="inlineStr">
        <is>
          <t>INV-10575</t>
        </is>
      </c>
      <c r="K110" s="17" t="n">
        <v>45909</v>
      </c>
      <c r="L110" s="18">
        <f>IF($K110="","",IF($E110="Production",$K110-N($AD110),$K110))</f>
        <v/>
      </c>
      <c r="M110" s="18">
        <f>IF($E110="Production",IF($K110="","",$K110-(N($AF110)+N($AG110))),IF($E110="Consulting",IF($K110="","",$K110-(N($AL110)+N($AM110)+N($AN110))),""))</f>
        <v/>
      </c>
      <c r="N110" s="19">
        <f>IFERROR($M110/$K110,"")</f>
        <v/>
      </c>
      <c r="O110" s="13">
        <f>IF(COUNTA($B110:$K110)=0,"",IF($C110="","No date",IF(AND($C110&gt;=Lists!$B$3,$C110&lt;Lists!$B$4),"In FY27","Outside FY27")))</f>
        <v/>
      </c>
      <c r="P110" s="13">
        <f>IF($E110&lt;&gt;"WIP","",IF($H110="","",IF(COUNTIFS($E$2:$E$20000,"&lt;&gt;WIP",$H$2:$H$20000,$H110)&gt;0,"Job already invoiced","")))</f>
        <v/>
      </c>
      <c r="Q110" s="16" t="n"/>
      <c r="R110" s="16" t="n"/>
      <c r="S110" s="15" t="n"/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7" t="n"/>
      <c r="AD110" s="17" t="n"/>
      <c r="AE110" s="19">
        <f>IF($E110&lt;&gt;"Production","",IFERROR($AD110/$L110,""))</f>
        <v/>
      </c>
      <c r="AF110" s="17" t="n"/>
      <c r="AG110" s="17" t="n"/>
      <c r="AH110" s="16" t="inlineStr">
        <is>
          <t>https://cts.qwilr.com/26052102-HP-D3-AustracPhoneMod-v3-0-PO-Received-4b9uvVwXSiqQ</t>
        </is>
      </c>
      <c r="AI110" s="17" t="n">
        <v>8009</v>
      </c>
      <c r="AJ110" s="17" t="n">
        <v>37900</v>
      </c>
      <c r="AK110" s="17" t="n"/>
      <c r="AL110" s="17" t="n">
        <v>6567</v>
      </c>
      <c r="AM110" s="17" t="n">
        <v>28409</v>
      </c>
      <c r="AN110" s="17" t="n"/>
    </row>
    <row r="111" ht="15" customHeight="1">
      <c r="A111" s="13">
        <f>IF(COUNTA($B111:$K111)=0,"",ROW()-1)</f>
        <v/>
      </c>
      <c r="B111" s="14" t="inlineStr">
        <is>
          <t>Invoice</t>
        </is>
      </c>
      <c r="C111" s="15" t="n">
        <v>46237</v>
      </c>
      <c r="D111" s="16" t="inlineStr">
        <is>
          <t>Integration</t>
        </is>
      </c>
      <c r="E111" s="13">
        <f>IF($B111="","",IF($B111="WIP","WIP",IFERROR(INDEX(Lists!$G$4:$G$10,MATCH($D111,Lists!$F$4:$F$10,0)),"Unmapped")))</f>
        <v/>
      </c>
      <c r="F111" s="16" t="inlineStr">
        <is>
          <t>Completed</t>
        </is>
      </c>
      <c r="G111" s="16" t="inlineStr">
        <is>
          <t>Aware Super</t>
        </is>
      </c>
      <c r="H111" s="14" t="n">
        <v>26052701</v>
      </c>
      <c r="I111" s="16" t="inlineStr">
        <is>
          <t>SYD 28.06 Equipment</t>
        </is>
      </c>
      <c r="J111" s="14" t="inlineStr">
        <is>
          <t>INV-10553</t>
        </is>
      </c>
      <c r="K111" s="17" t="n">
        <v>12271</v>
      </c>
      <c r="L111" s="18">
        <f>IF($K111="","",IF($E111="Production",$K111-N($AD111),$K111))</f>
        <v/>
      </c>
      <c r="M111" s="18">
        <f>IF($E111="Production",IF($K111="","",$K111-(N($AF111)+N($AG111))),IF($E111="Consulting",IF($K111="","",$K111-(N($AL111)+N($AM111)+N($AN111))),""))</f>
        <v/>
      </c>
      <c r="N111" s="19">
        <f>IFERROR($M111/$K111,"")</f>
        <v/>
      </c>
      <c r="O111" s="13">
        <f>IF(COUNTA($B111:$K111)=0,"",IF($C111="","No date",IF(AND($C111&gt;=Lists!$B$3,$C111&lt;Lists!$B$4),"In FY27","Outside FY27")))</f>
        <v/>
      </c>
      <c r="P111" s="13">
        <f>IF($E111&lt;&gt;"WIP","",IF($H111="","",IF(COUNTIFS($E$2:$E$20000,"&lt;&gt;WIP",$H$2:$H$20000,$H111)&gt;0,"Job already invoiced","")))</f>
        <v/>
      </c>
      <c r="Q111" s="16" t="n"/>
      <c r="R111" s="16" t="n"/>
      <c r="S111" s="15" t="n"/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7" t="n"/>
      <c r="AD111" s="17" t="n"/>
      <c r="AE111" s="19">
        <f>IF($E111&lt;&gt;"Production","",IFERROR($AD111/$L111,""))</f>
        <v/>
      </c>
      <c r="AF111" s="17" t="n"/>
      <c r="AG111" s="17" t="n"/>
      <c r="AH111" s="16" t="inlineStr">
        <is>
          <t>https://cts.qwilr.com/26052701-Aware-Costing-v5-0-CGHaKT8iSxmf</t>
        </is>
      </c>
      <c r="AI111" s="17" t="n"/>
      <c r="AJ111" s="17" t="n"/>
      <c r="AK111" s="17" t="n"/>
      <c r="AL111" s="17" t="n"/>
      <c r="AM111" s="17" t="n">
        <v>8643.4</v>
      </c>
      <c r="AN111" s="17" t="n"/>
    </row>
    <row r="112" ht="15" customHeight="1">
      <c r="A112" s="13">
        <f>IF(COUNTA($B112:$K112)=0,"",ROW()-1)</f>
        <v/>
      </c>
      <c r="B112" s="14" t="inlineStr">
        <is>
          <t>Invoice</t>
        </is>
      </c>
      <c r="C112" s="15" t="n">
        <v>46261</v>
      </c>
      <c r="D112" s="16" t="inlineStr">
        <is>
          <t>Integration</t>
        </is>
      </c>
      <c r="E112" s="13">
        <f>IF($B112="","",IF($B112="WIP","WIP",IFERROR(INDEX(Lists!$G$4:$G$10,MATCH($D112,Lists!$F$4:$F$10,0)),"Unmapped")))</f>
        <v/>
      </c>
      <c r="F112" s="16" t="inlineStr">
        <is>
          <t>Closed</t>
        </is>
      </c>
      <c r="G112" s="16" t="inlineStr">
        <is>
          <t>YSG Studio</t>
        </is>
      </c>
      <c r="H112" s="14" t="n">
        <v>26071304</v>
      </c>
      <c r="I112" s="16" t="inlineStr">
        <is>
          <t>Orange Room Upgrade INT</t>
        </is>
      </c>
      <c r="J112" s="14" t="inlineStr">
        <is>
          <t>INV-10601</t>
        </is>
      </c>
      <c r="K112" s="17" t="n">
        <v>4462</v>
      </c>
      <c r="L112" s="18">
        <f>IF($K112="","",IF($E112="Production",$K112-N($AD112),$K112))</f>
        <v/>
      </c>
      <c r="M112" s="18">
        <f>IF($E112="Production",IF($K112="","",$K112-(N($AF112)+N($AG112))),IF($E112="Consulting",IF($K112="","",$K112-(N($AL112)+N($AM112)+N($AN112))),""))</f>
        <v/>
      </c>
      <c r="N112" s="19">
        <f>IFERROR($M112/$K112,"")</f>
        <v/>
      </c>
      <c r="O112" s="13">
        <f>IF(COUNTA($B112:$K112)=0,"",IF($C112="","No date",IF(AND($C112&gt;=Lists!$B$3,$C112&lt;Lists!$B$4),"In FY27","Outside FY27")))</f>
        <v/>
      </c>
      <c r="P112" s="13">
        <f>IF($E112&lt;&gt;"WIP","",IF($H112="","",IF(COUNTIFS($E$2:$E$20000,"&lt;&gt;WIP",$H$2:$H$20000,$H112)&gt;0,"Job already invoiced","")))</f>
        <v/>
      </c>
      <c r="Q112" s="16" t="inlineStr">
        <is>
          <t>2/2 Labour only; Not invoiced yet</t>
        </is>
      </c>
      <c r="R112" s="16" t="n"/>
      <c r="S112" s="15" t="n"/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7" t="n"/>
      <c r="AD112" s="17" t="n"/>
      <c r="AE112" s="19">
        <f>IF($E112&lt;&gt;"Production","",IFERROR($AD112/$L112,""))</f>
        <v/>
      </c>
      <c r="AF112" s="17" t="n"/>
      <c r="AG112" s="17" t="n"/>
      <c r="AH112" s="16" t="inlineStr">
        <is>
          <t>https://cts.qwilr.com/26071304-YSG-Costing-v1-0-FTAgpF5RoWQK</t>
        </is>
      </c>
      <c r="AI112" s="17" t="n">
        <v>4462</v>
      </c>
      <c r="AJ112" s="17" t="n"/>
      <c r="AK112" s="17" t="n"/>
      <c r="AL112" s="17" t="n">
        <v>3659</v>
      </c>
      <c r="AM112" s="17" t="n"/>
      <c r="AN112" s="17" t="n"/>
    </row>
    <row r="113" ht="15" customHeight="1">
      <c r="A113" s="13">
        <f>IF(COUNTA($B113:$K113)=0,"",ROW()-1)</f>
        <v/>
      </c>
      <c r="B113" s="14" t="inlineStr">
        <is>
          <t>Invoice</t>
        </is>
      </c>
      <c r="C113" s="15" t="n">
        <v>46253</v>
      </c>
      <c r="D113" s="16" t="inlineStr">
        <is>
          <t>Integration</t>
        </is>
      </c>
      <c r="E113" s="13">
        <f>IF($B113="","",IF($B113="WIP","WIP",IFERROR(INDEX(Lists!$G$4:$G$10,MATCH($D113,Lists!$F$4:$F$10,0)),"Unmapped")))</f>
        <v/>
      </c>
      <c r="F113" s="16" t="inlineStr">
        <is>
          <t>Completed</t>
        </is>
      </c>
      <c r="G113" s="16" t="inlineStr">
        <is>
          <t>Aware Super</t>
        </is>
      </c>
      <c r="H113" s="14" t="n">
        <v>26062902</v>
      </c>
      <c r="I113" s="16" t="inlineStr">
        <is>
          <t>SYD Occupancy Sensors</t>
        </is>
      </c>
      <c r="J113" s="14" t="inlineStr">
        <is>
          <t>INV-10564</t>
        </is>
      </c>
      <c r="K113" s="17" t="n">
        <v>3489</v>
      </c>
      <c r="L113" s="18">
        <f>IF($K113="","",IF($E113="Production",$K113-N($AD113),$K113))</f>
        <v/>
      </c>
      <c r="M113" s="18">
        <f>IF($E113="Production",IF($K113="","",$K113-(N($AF113)+N($AG113))),IF($E113="Consulting",IF($K113="","",$K113-(N($AL113)+N($AM113)+N($AN113))),""))</f>
        <v/>
      </c>
      <c r="N113" s="19">
        <f>IFERROR($M113/$K113,"")</f>
        <v/>
      </c>
      <c r="O113" s="13">
        <f>IF(COUNTA($B113:$K113)=0,"",IF($C113="","No date",IF(AND($C113&gt;=Lists!$B$3,$C113&lt;Lists!$B$4),"In FY27","Outside FY27")))</f>
        <v/>
      </c>
      <c r="P113" s="13">
        <f>IF($E113&lt;&gt;"WIP","",IF($H113="","",IF(COUNTIFS($E$2:$E$20000,"&lt;&gt;WIP",$H$2:$H$20000,$H113)&gt;0,"Job already invoiced","")))</f>
        <v/>
      </c>
      <c r="Q113" s="16" t="inlineStr">
        <is>
          <t>Invoice 1/2 Equipment only</t>
        </is>
      </c>
      <c r="R113" s="16" t="n"/>
      <c r="S113" s="15" t="n"/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7" t="n"/>
      <c r="AD113" s="17" t="n"/>
      <c r="AE113" s="19">
        <f>IF($E113&lt;&gt;"Production","",IFERROR($AD113/$L113,""))</f>
        <v/>
      </c>
      <c r="AF113" s="17" t="n"/>
      <c r="AG113" s="17" t="n"/>
      <c r="AH113" s="16" t="inlineStr">
        <is>
          <t>https://cts.qwilr.com/26062902-Aware-Costing-v2-0-Accepted-PDF-wrF7KzoUT8OK</t>
        </is>
      </c>
      <c r="AI113" s="17" t="n"/>
      <c r="AJ113" s="17" t="n">
        <v>3489</v>
      </c>
      <c r="AK113" s="17" t="n"/>
      <c r="AL113" s="17" t="n"/>
      <c r="AM113" s="17" t="n">
        <v>2647</v>
      </c>
      <c r="AN113" s="17" t="n"/>
    </row>
    <row r="114" ht="15" customHeight="1">
      <c r="A114" s="13">
        <f>IF(COUNTA($B114:$K114)=0,"",ROW()-1)</f>
        <v/>
      </c>
      <c r="B114" s="14" t="inlineStr">
        <is>
          <t>Invoice</t>
        </is>
      </c>
      <c r="C114" s="15" t="n"/>
      <c r="D114" s="16" t="inlineStr">
        <is>
          <t>Integration</t>
        </is>
      </c>
      <c r="E114" s="13">
        <f>IF($B114="","",IF($B114="WIP","WIP",IFERROR(INDEX(Lists!$G$4:$G$10,MATCH($D114,Lists!$F$4:$F$10,0)),"Unmapped")))</f>
        <v/>
      </c>
      <c r="F114" s="16" t="inlineStr">
        <is>
          <t>In Progress</t>
        </is>
      </c>
      <c r="G114" s="16" t="inlineStr">
        <is>
          <t>Aware Super</t>
        </is>
      </c>
      <c r="H114" s="14" t="n">
        <v>26062902</v>
      </c>
      <c r="I114" s="16" t="inlineStr">
        <is>
          <t>SYD Occupancy Sensors</t>
        </is>
      </c>
      <c r="J114" s="14" t="n"/>
      <c r="K114" s="17" t="n">
        <v>2707</v>
      </c>
      <c r="L114" s="18">
        <f>IF($K114="","",IF($E114="Production",$K114-N($AD114),$K114))</f>
        <v/>
      </c>
      <c r="M114" s="18">
        <f>IF($E114="Production",IF($K114="","",$K114-(N($AF114)+N($AG114))),IF($E114="Consulting",IF($K114="","",$K114-(N($AL114)+N($AM114)+N($AN114))),""))</f>
        <v/>
      </c>
      <c r="N114" s="19">
        <f>IFERROR($M114/$K114,"")</f>
        <v/>
      </c>
      <c r="O114" s="13">
        <f>IF(COUNTA($B114:$K114)=0,"",IF($C114="","No date",IF(AND($C114&gt;=Lists!$B$3,$C114&lt;Lists!$B$4),"In FY27","Outside FY27")))</f>
        <v/>
      </c>
      <c r="P114" s="13">
        <f>IF($E114&lt;&gt;"WIP","",IF($H114="","",IF(COUNTIFS($E$2:$E$20000,"&lt;&gt;WIP",$H$2:$H$20000,$H114)&gt;0,"Job already invoiced","")))</f>
        <v/>
      </c>
      <c r="Q114" s="16" t="inlineStr">
        <is>
          <t>2/2 Labour only; Not invoiced yet</t>
        </is>
      </c>
      <c r="R114" s="16" t="n"/>
      <c r="S114" s="15" t="n"/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7" t="n"/>
      <c r="AD114" s="17" t="n"/>
      <c r="AE114" s="19">
        <f>IF($E114&lt;&gt;"Production","",IFERROR($AD114/$L114,""))</f>
        <v/>
      </c>
      <c r="AF114" s="17" t="n"/>
      <c r="AG114" s="17" t="n"/>
      <c r="AH114" s="16" t="inlineStr">
        <is>
          <t>https://cts.qwilr.com/26062902-Aware-Costing-v2-0-Accepted-PDF-wrF7KzoUT8OK</t>
        </is>
      </c>
      <c r="AI114" s="17" t="n">
        <v>2707</v>
      </c>
      <c r="AJ114" s="17" t="n"/>
      <c r="AK114" s="17" t="n"/>
      <c r="AL114" s="17" t="n">
        <v>2219</v>
      </c>
      <c r="AM114" s="17" t="n"/>
      <c r="AN114" s="17" t="n"/>
    </row>
    <row r="115" ht="15" customHeight="1">
      <c r="A115" s="13">
        <f>IF(COUNTA($B115:$K115)=0,"",ROW()-1)</f>
        <v/>
      </c>
      <c r="B115" s="14" t="inlineStr">
        <is>
          <t>Invoice</t>
        </is>
      </c>
      <c r="C115" s="15" t="n"/>
      <c r="D115" s="16" t="inlineStr">
        <is>
          <t>Integration</t>
        </is>
      </c>
      <c r="E115" s="13">
        <f>IF($B115="","",IF($B115="WIP","WIP",IFERROR(INDEX(Lists!$G$4:$G$10,MATCH($D115,Lists!$F$4:$F$10,0)),"Unmapped")))</f>
        <v/>
      </c>
      <c r="F115" s="16" t="inlineStr">
        <is>
          <t>In Progress</t>
        </is>
      </c>
      <c r="G115" s="16" t="inlineStr">
        <is>
          <t>Aware Super</t>
        </is>
      </c>
      <c r="H115" s="14" t="n">
        <v>26062901</v>
      </c>
      <c r="I115" s="16" t="inlineStr">
        <is>
          <t>Aware | SYD 28.06 Services</t>
        </is>
      </c>
      <c r="J115" s="14" t="n"/>
      <c r="K115" s="17" t="n">
        <v>4631</v>
      </c>
      <c r="L115" s="18">
        <f>IF($K115="","",IF($E115="Production",$K115-N($AD115),$K115))</f>
        <v/>
      </c>
      <c r="M115" s="18">
        <f>IF($E115="Production",IF($K115="","",$K115-(N($AF115)+N($AG115))),IF($E115="Consulting",IF($K115="","",$K115-(N($AL115)+N($AM115)+N($AN115))),""))</f>
        <v/>
      </c>
      <c r="N115" s="19">
        <f>IFERROR($M115/$K115,"")</f>
        <v/>
      </c>
      <c r="O115" s="13">
        <f>IF(COUNTA($B115:$K115)=0,"",IF($C115="","No date",IF(AND($C115&gt;=Lists!$B$3,$C115&lt;Lists!$B$4),"In FY27","Outside FY27")))</f>
        <v/>
      </c>
      <c r="P115" s="13">
        <f>IF($E115&lt;&gt;"WIP","",IF($H115="","",IF(COUNTIFS($E$2:$E$20000,"&lt;&gt;WIP",$H$2:$H$20000,$H115)&gt;0,"Job already invoiced","")))</f>
        <v/>
      </c>
      <c r="Q115" s="16" t="n"/>
      <c r="R115" s="16" t="n"/>
      <c r="S115" s="15" t="n"/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7" t="n"/>
      <c r="AD115" s="17" t="n"/>
      <c r="AE115" s="19">
        <f>IF($E115&lt;&gt;"Production","",IFERROR($AD115/$L115,""))</f>
        <v/>
      </c>
      <c r="AF115" s="17" t="n"/>
      <c r="AG115" s="17" t="n"/>
      <c r="AH115" s="16" t="inlineStr">
        <is>
          <t>https://corptechservices.sharepoint.com/:b:/s/TeamIntegration/IQAz4MvaxJkBRIexJJi1p2LTAVDk9PznGqnT-q1tS0i5o00?e=BH3DeT</t>
        </is>
      </c>
      <c r="AI115" s="17" t="n">
        <v>4631</v>
      </c>
      <c r="AJ115" s="17" t="n"/>
      <c r="AK115" s="17" t="n"/>
      <c r="AL115" s="17" t="n">
        <v>3775.2</v>
      </c>
      <c r="AM115" s="17" t="n"/>
      <c r="AN115" s="17" t="n"/>
    </row>
    <row r="116" ht="15" customHeight="1">
      <c r="A116" s="13">
        <f>IF(COUNTA($B116:$K116)=0,"",ROW()-1)</f>
        <v/>
      </c>
      <c r="B116" s="14" t="inlineStr">
        <is>
          <t>Invoice</t>
        </is>
      </c>
      <c r="C116" s="15" t="n">
        <v>46254</v>
      </c>
      <c r="D116" s="16" t="inlineStr">
        <is>
          <t>Integration</t>
        </is>
      </c>
      <c r="E116" s="13">
        <f>IF($B116="","",IF($B116="WIP","WIP",IFERROR(INDEX(Lists!$G$4:$G$10,MATCH($D116,Lists!$F$4:$F$10,0)),"Unmapped")))</f>
        <v/>
      </c>
      <c r="F116" s="16" t="inlineStr">
        <is>
          <t>In Progress</t>
        </is>
      </c>
      <c r="G116" s="16" t="inlineStr">
        <is>
          <t>AusPayNet</t>
        </is>
      </c>
      <c r="H116" s="14" t="n">
        <v>26081901</v>
      </c>
      <c r="I116" s="16" t="inlineStr">
        <is>
          <t>Logi Subscription</t>
        </is>
      </c>
      <c r="J116" s="14" t="inlineStr">
        <is>
          <t>INV-10574</t>
        </is>
      </c>
      <c r="K116" s="17" t="n">
        <v>993</v>
      </c>
      <c r="L116" s="18">
        <f>IF($K116="","",IF($E116="Production",$K116-N($AD116),$K116))</f>
        <v/>
      </c>
      <c r="M116" s="18">
        <f>IF($E116="Production",IF($K116="","",$K116-(N($AF116)+N($AG116))),IF($E116="Consulting",IF($K116="","",$K116-(N($AL116)+N($AM116)+N($AN116))),""))</f>
        <v/>
      </c>
      <c r="N116" s="19">
        <f>IFERROR($M116/$K116,"")</f>
        <v/>
      </c>
      <c r="O116" s="13">
        <f>IF(COUNTA($B116:$K116)=0,"",IF($C116="","No date",IF(AND($C116&gt;=Lists!$B$3,$C116&lt;Lists!$B$4),"In FY27","Outside FY27")))</f>
        <v/>
      </c>
      <c r="P116" s="13">
        <f>IF($E116&lt;&gt;"WIP","",IF($H116="","",IF(COUNTIFS($E$2:$E$20000,"&lt;&gt;WIP",$H$2:$H$20000,$H116)&gt;0,"Job already invoiced","")))</f>
        <v/>
      </c>
      <c r="Q116" s="16" t="n"/>
      <c r="R116" s="16" t="n"/>
      <c r="S116" s="15" t="n"/>
      <c r="T116" s="14" t="n"/>
      <c r="U116" s="14" t="n"/>
      <c r="V116" s="14" t="n"/>
      <c r="W116" s="14" t="n"/>
      <c r="X116" s="14" t="n"/>
      <c r="Y116" s="14" t="n"/>
      <c r="Z116" s="14" t="n"/>
      <c r="AA116" s="14" t="n"/>
      <c r="AB116" s="14" t="n"/>
      <c r="AC116" s="17" t="n"/>
      <c r="AD116" s="17" t="n"/>
      <c r="AE116" s="19">
        <f>IF($E116&lt;&gt;"Production","",IFERROR($AD116/$L116,""))</f>
        <v/>
      </c>
      <c r="AF116" s="17" t="n"/>
      <c r="AG116" s="17" t="n"/>
      <c r="AH116" s="16" t="inlineStr">
        <is>
          <t>https://cts.qwilr.com/26081901-AusPayNet-Quotation-v1-0-3RSgmysoSnit</t>
        </is>
      </c>
      <c r="AI116" s="17" t="n"/>
      <c r="AJ116" s="17" t="n"/>
      <c r="AK116" s="17" t="n">
        <v>993</v>
      </c>
      <c r="AL116" s="17" t="n"/>
      <c r="AM116" s="17" t="n">
        <v>745</v>
      </c>
      <c r="AN116" s="17" t="n"/>
    </row>
    <row r="117" ht="15" customHeight="1">
      <c r="A117" s="13">
        <f>IF(COUNTA($B117:$K117)=0,"",ROW()-1)</f>
        <v/>
      </c>
      <c r="B117" s="14" t="inlineStr">
        <is>
          <t>Invoice</t>
        </is>
      </c>
      <c r="C117" s="15" t="n"/>
      <c r="D117" s="16" t="inlineStr">
        <is>
          <t>Integration</t>
        </is>
      </c>
      <c r="E117" s="13">
        <f>IF($B117="","",IF($B117="WIP","WIP",IFERROR(INDEX(Lists!$G$4:$G$10,MATCH($D117,Lists!$F$4:$F$10,0)),"Unmapped")))</f>
        <v/>
      </c>
      <c r="F117" s="16" t="inlineStr">
        <is>
          <t>In Progress</t>
        </is>
      </c>
      <c r="G117" s="16" t="inlineStr">
        <is>
          <t>Aware Super</t>
        </is>
      </c>
      <c r="H117" s="14" t="n">
        <v>26071601</v>
      </c>
      <c r="I117" s="16" t="inlineStr">
        <is>
          <t>PER USB-C Cable Replacement</t>
        </is>
      </c>
      <c r="J117" s="14" t="n"/>
      <c r="K117" s="17" t="n">
        <v>2957</v>
      </c>
      <c r="L117" s="18">
        <f>IF($K117="","",IF($E117="Production",$K117-N($AD117),$K117))</f>
        <v/>
      </c>
      <c r="M117" s="18">
        <f>IF($E117="Production",IF($K117="","",$K117-(N($AF117)+N($AG117))),IF($E117="Consulting",IF($K117="","",$K117-(N($AL117)+N($AM117)+N($AN117))),""))</f>
        <v/>
      </c>
      <c r="N117" s="19">
        <f>IFERROR($M117/$K117,"")</f>
        <v/>
      </c>
      <c r="O117" s="13">
        <f>IF(COUNTA($B117:$K117)=0,"",IF($C117="","No date",IF(AND($C117&gt;=Lists!$B$3,$C117&lt;Lists!$B$4),"In FY27","Outside FY27")))</f>
        <v/>
      </c>
      <c r="P117" s="13">
        <f>IF($E117&lt;&gt;"WIP","",IF($H117="","",IF(COUNTIFS($E$2:$E$20000,"&lt;&gt;WIP",$H$2:$H$20000,$H117)&gt;0,"Job already invoiced","")))</f>
        <v/>
      </c>
      <c r="Q117" s="16" t="n"/>
      <c r="R117" s="16" t="n"/>
      <c r="S117" s="15" t="n"/>
      <c r="T117" s="14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7" t="n"/>
      <c r="AD117" s="17" t="n"/>
      <c r="AE117" s="19">
        <f>IF($E117&lt;&gt;"Production","",IFERROR($AD117/$L117,""))</f>
        <v/>
      </c>
      <c r="AF117" s="17" t="n"/>
      <c r="AG117" s="17" t="n"/>
      <c r="AH117" s="16" t="inlineStr">
        <is>
          <t>https://cts.qwilr.com/26071601-Aware-Costing-v1-0-bOvhpPx4TTut</t>
        </is>
      </c>
      <c r="AI117" s="17" t="n">
        <v>903</v>
      </c>
      <c r="AJ117" s="17" t="n">
        <v>2054</v>
      </c>
      <c r="AK117" s="17" t="n"/>
      <c r="AL117" s="17" t="n">
        <v>740</v>
      </c>
      <c r="AM117" s="17" t="n">
        <v>1540</v>
      </c>
      <c r="AN117" s="17" t="n"/>
    </row>
    <row r="118" ht="15" customHeight="1">
      <c r="A118" s="13">
        <f>IF(COUNTA($B118:$K118)=0,"",ROW()-1)</f>
        <v/>
      </c>
      <c r="B118" s="14" t="inlineStr">
        <is>
          <t>WIP</t>
        </is>
      </c>
      <c r="C118" s="15" t="n">
        <v>46234</v>
      </c>
      <c r="D118" s="16" t="inlineStr">
        <is>
          <t>Production</t>
        </is>
      </c>
      <c r="E118" s="13">
        <f>IF($B118="","",IF($B118="WIP","WIP",IFERROR(INDEX(Lists!$G$4:$G$10,MATCH($D118,Lists!$F$4:$F$10,0)),"Unmapped")))</f>
        <v/>
      </c>
      <c r="F118" s="16" t="n"/>
      <c r="G118" s="16" t="inlineStr">
        <is>
          <t>CBA</t>
        </is>
      </c>
      <c r="H118" s="14" t="inlineStr">
        <is>
          <t>2506208</t>
        </is>
      </c>
      <c r="I118" s="16" t="inlineStr">
        <is>
          <t>CBA AGM 2026 Pre-production work at $130ph</t>
        </is>
      </c>
      <c r="J118" s="14" t="n"/>
      <c r="K118" s="17" t="n">
        <v>2535</v>
      </c>
      <c r="L118" s="18">
        <f>IF($K118="","",IF($E118="Production",$K118-N($AD118),$K118))</f>
        <v/>
      </c>
      <c r="M118" s="18">
        <f>IF($E118="Production",IF($K118="","",$K118-(N($AF118)+N($AG118))),IF($E118="Consulting",IF($K118="","",$K118-(N($AL118)+N($AM118)+N($AN118))),""))</f>
        <v/>
      </c>
      <c r="N118" s="19">
        <f>IFERROR($M118/$K118,"")</f>
        <v/>
      </c>
      <c r="O118" s="13">
        <f>IF(COUNTA($B118:$K118)=0,"",IF($C118="","No date",IF(AND($C118&gt;=Lists!$B$3,$C118&lt;Lists!$B$4),"In FY27","Outside FY27")))</f>
        <v/>
      </c>
      <c r="P118" s="13">
        <f>IF($E118&lt;&gt;"WIP","",IF($H118="","",IF(COUNTIFS($E$2:$E$20000,"&lt;&gt;WIP",$H$2:$H$20000,$H118)&gt;0,"Job already invoiced","")))</f>
        <v/>
      </c>
      <c r="Q118" s="16" t="n"/>
      <c r="R118" s="16" t="n"/>
      <c r="S118" s="15" t="n"/>
      <c r="T118" s="14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7" t="n"/>
      <c r="AD118" s="17" t="n"/>
      <c r="AE118" s="19">
        <f>IF($E118&lt;&gt;"Production","",IFERROR($AD118/$L118,""))</f>
        <v/>
      </c>
      <c r="AF118" s="17" t="n"/>
      <c r="AG118" s="17" t="n"/>
      <c r="AH118" s="16" t="n"/>
      <c r="AI118" s="17" t="n"/>
      <c r="AJ118" s="17" t="n"/>
      <c r="AK118" s="17" t="n"/>
      <c r="AL118" s="17" t="n"/>
      <c r="AM118" s="17" t="n"/>
      <c r="AN118" s="17" t="n"/>
    </row>
    <row r="119" ht="15" customHeight="1">
      <c r="A119" s="13">
        <f>IF(COUNTA($B119:$K119)=0,"",ROW()-1)</f>
        <v/>
      </c>
      <c r="B119" s="14" t="inlineStr">
        <is>
          <t>WIP</t>
        </is>
      </c>
      <c r="C119" s="15" t="n">
        <v>46234</v>
      </c>
      <c r="D119" s="16" t="inlineStr">
        <is>
          <t>Integration</t>
        </is>
      </c>
      <c r="E119" s="13">
        <f>IF($B119="","",IF($B119="WIP","WIP",IFERROR(INDEX(Lists!$G$4:$G$10,MATCH($D119,Lists!$F$4:$F$10,0)),"Unmapped")))</f>
        <v/>
      </c>
      <c r="F119" s="16" t="n"/>
      <c r="G119" s="16" t="inlineStr">
        <is>
          <t>APA</t>
        </is>
      </c>
      <c r="H119" s="14" t="inlineStr">
        <is>
          <t>25070702</t>
        </is>
      </c>
      <c r="I119" s="16" t="inlineStr">
        <is>
          <t>APA BNE &amp; NT Year 1/3 Inv9988 (Revenue) Sep 2025 - Aug 2026</t>
        </is>
      </c>
      <c r="J119" s="14" t="n"/>
      <c r="K119" s="17" t="n">
        <v>308.16</v>
      </c>
      <c r="L119" s="18">
        <f>IF($K119="","",IF($E119="Production",$K119-N($AD119),$K119))</f>
        <v/>
      </c>
      <c r="M119" s="18">
        <f>IF($E119="Production",IF($K119="","",$K119-(N($AF119)+N($AG119))),IF($E119="Consulting",IF($K119="","",$K119-(N($AL119)+N($AM119)+N($AN119))),""))</f>
        <v/>
      </c>
      <c r="N119" s="19">
        <f>IFERROR($M119/$K119,"")</f>
        <v/>
      </c>
      <c r="O119" s="13">
        <f>IF(COUNTA($B119:$K119)=0,"",IF($C119="","No date",IF(AND($C119&gt;=Lists!$B$3,$C119&lt;Lists!$B$4),"In FY27","Outside FY27")))</f>
        <v/>
      </c>
      <c r="P119" s="13">
        <f>IF($E119&lt;&gt;"WIP","",IF($H119="","",IF(COUNTIFS($E$2:$E$20000,"&lt;&gt;WIP",$H$2:$H$20000,$H119)&gt;0,"Job already invoiced","")))</f>
        <v/>
      </c>
      <c r="Q119" s="16" t="n"/>
      <c r="R119" s="16" t="n"/>
      <c r="S119" s="15" t="n"/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7" t="n"/>
      <c r="AD119" s="17" t="n"/>
      <c r="AE119" s="19">
        <f>IF($E119&lt;&gt;"Production","",IFERROR($AD119/$L119,""))</f>
        <v/>
      </c>
      <c r="AF119" s="17" t="n"/>
      <c r="AG119" s="17" t="n"/>
      <c r="AH119" s="16" t="n"/>
      <c r="AI119" s="17" t="n"/>
      <c r="AJ119" s="17" t="n"/>
      <c r="AK119" s="17" t="n"/>
      <c r="AL119" s="17" t="n"/>
      <c r="AM119" s="17" t="n"/>
      <c r="AN119" s="17" t="n"/>
    </row>
    <row r="120" ht="15" customHeight="1">
      <c r="A120" s="13">
        <f>IF(COUNTA($B120:$K120)=0,"",ROW()-1)</f>
        <v/>
      </c>
      <c r="B120" s="14" t="inlineStr">
        <is>
          <t>WIP</t>
        </is>
      </c>
      <c r="C120" s="15" t="n">
        <v>46234</v>
      </c>
      <c r="D120" s="16" t="inlineStr">
        <is>
          <t>Integration</t>
        </is>
      </c>
      <c r="E120" s="13">
        <f>IF($B120="","",IF($B120="WIP","WIP",IFERROR(INDEX(Lists!$G$4:$G$10,MATCH($D120,Lists!$F$4:$F$10,0)),"Unmapped")))</f>
        <v/>
      </c>
      <c r="F120" s="16" t="n"/>
      <c r="G120" s="16" t="inlineStr">
        <is>
          <t>APA Thomastown</t>
        </is>
      </c>
      <c r="H120" s="14" t="inlineStr">
        <is>
          <t>3072</t>
        </is>
      </c>
      <c r="I120" s="16" t="inlineStr">
        <is>
          <t>APA Thomastown INV-10133 Year 3 Licence (January - December 2026)</t>
        </is>
      </c>
      <c r="J120" s="14" t="n"/>
      <c r="K120" s="17" t="n">
        <v>1033.06</v>
      </c>
      <c r="L120" s="18">
        <f>IF($K120="","",IF($E120="Production",$K120-N($AD120),$K120))</f>
        <v/>
      </c>
      <c r="M120" s="18">
        <f>IF($E120="Production",IF($K120="","",$K120-(N($AF120)+N($AG120))),IF($E120="Consulting",IF($K120="","",$K120-(N($AL120)+N($AM120)+N($AN120))),""))</f>
        <v/>
      </c>
      <c r="N120" s="19">
        <f>IFERROR($M120/$K120,"")</f>
        <v/>
      </c>
      <c r="O120" s="13">
        <f>IF(COUNTA($B120:$K120)=0,"",IF($C120="","No date",IF(AND($C120&gt;=Lists!$B$3,$C120&lt;Lists!$B$4),"In FY27","Outside FY27")))</f>
        <v/>
      </c>
      <c r="P120" s="13">
        <f>IF($E120&lt;&gt;"WIP","",IF($H120="","",IF(COUNTIFS($E$2:$E$20000,"&lt;&gt;WIP",$H$2:$H$20000,$H120)&gt;0,"Job already invoiced","")))</f>
        <v/>
      </c>
      <c r="Q120" s="16" t="n"/>
      <c r="R120" s="16" t="n"/>
      <c r="S120" s="15" t="n"/>
      <c r="T120" s="14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  <c r="AC120" s="17" t="n"/>
      <c r="AD120" s="17" t="n"/>
      <c r="AE120" s="19">
        <f>IF($E120&lt;&gt;"Production","",IFERROR($AD120/$L120,""))</f>
        <v/>
      </c>
      <c r="AF120" s="17" t="n"/>
      <c r="AG120" s="17" t="n"/>
      <c r="AH120" s="16" t="n"/>
      <c r="AI120" s="17" t="n"/>
      <c r="AJ120" s="17" t="n"/>
      <c r="AK120" s="17" t="n"/>
      <c r="AL120" s="17" t="n"/>
      <c r="AM120" s="17" t="n"/>
      <c r="AN120" s="17" t="n"/>
    </row>
    <row r="121" ht="15" customHeight="1">
      <c r="A121" s="13">
        <f>IF(COUNTA($B121:$K121)=0,"",ROW()-1)</f>
        <v/>
      </c>
      <c r="B121" s="14" t="inlineStr">
        <is>
          <t>WIP</t>
        </is>
      </c>
      <c r="C121" s="15" t="n">
        <v>46234</v>
      </c>
      <c r="D121" s="16" t="inlineStr">
        <is>
          <t>Integration</t>
        </is>
      </c>
      <c r="E121" s="13">
        <f>IF($B121="","",IF($B121="WIP","WIP",IFERROR(INDEX(Lists!$G$4:$G$10,MATCH($D121,Lists!$F$4:$F$10,0)),"Unmapped")))</f>
        <v/>
      </c>
      <c r="F121" s="16" t="n"/>
      <c r="G121" s="16" t="inlineStr">
        <is>
          <t>NSW Property</t>
        </is>
      </c>
      <c r="H121" s="14" t="inlineStr">
        <is>
          <t>2519</t>
        </is>
      </c>
      <c r="I121" s="16" t="inlineStr">
        <is>
          <t>NSW Property 6PSQ Multi-Tennant Year 4 INV 10162 Revenue (November - October 2026)</t>
        </is>
      </c>
      <c r="J121" s="14" t="n"/>
      <c r="K121" s="17" t="n">
        <v>929.33</v>
      </c>
      <c r="L121" s="18">
        <f>IF($K121="","",IF($E121="Production",$K121-N($AD121),$K121))</f>
        <v/>
      </c>
      <c r="M121" s="18">
        <f>IF($E121="Production",IF($K121="","",$K121-(N($AF121)+N($AG121))),IF($E121="Consulting",IF($K121="","",$K121-(N($AL121)+N($AM121)+N($AN121))),""))</f>
        <v/>
      </c>
      <c r="N121" s="19">
        <f>IFERROR($M121/$K121,"")</f>
        <v/>
      </c>
      <c r="O121" s="13">
        <f>IF(COUNTA($B121:$K121)=0,"",IF($C121="","No date",IF(AND($C121&gt;=Lists!$B$3,$C121&lt;Lists!$B$4),"In FY27","Outside FY27")))</f>
        <v/>
      </c>
      <c r="P121" s="13">
        <f>IF($E121&lt;&gt;"WIP","",IF($H121="","",IF(COUNTIFS($E$2:$E$20000,"&lt;&gt;WIP",$H$2:$H$20000,$H121)&gt;0,"Job already invoiced","")))</f>
        <v/>
      </c>
      <c r="Q121" s="16" t="n"/>
      <c r="R121" s="16" t="n"/>
      <c r="S121" s="15" t="n"/>
      <c r="T121" s="14" t="n"/>
      <c r="U121" s="14" t="n"/>
      <c r="V121" s="14" t="n"/>
      <c r="W121" s="14" t="n"/>
      <c r="X121" s="14" t="n"/>
      <c r="Y121" s="14" t="n"/>
      <c r="Z121" s="14" t="n"/>
      <c r="AA121" s="14" t="n"/>
      <c r="AB121" s="14" t="n"/>
      <c r="AC121" s="17" t="n"/>
      <c r="AD121" s="17" t="n"/>
      <c r="AE121" s="19">
        <f>IF($E121&lt;&gt;"Production","",IFERROR($AD121/$L121,""))</f>
        <v/>
      </c>
      <c r="AF121" s="17" t="n"/>
      <c r="AG121" s="17" t="n"/>
      <c r="AH121" s="16" t="n"/>
      <c r="AI121" s="17" t="n"/>
      <c r="AJ121" s="17" t="n"/>
      <c r="AK121" s="17" t="n"/>
      <c r="AL121" s="17" t="n"/>
      <c r="AM121" s="17" t="n"/>
      <c r="AN121" s="17" t="n"/>
    </row>
    <row r="122" ht="15" customHeight="1">
      <c r="A122" s="13">
        <f>IF(COUNTA($B122:$K122)=0,"",ROW()-1)</f>
        <v/>
      </c>
      <c r="B122" s="14" t="inlineStr">
        <is>
          <t>WIP</t>
        </is>
      </c>
      <c r="C122" s="15" t="n">
        <v>46234</v>
      </c>
      <c r="D122" s="16" t="inlineStr">
        <is>
          <t>Integration</t>
        </is>
      </c>
      <c r="E122" s="13">
        <f>IF($B122="","",IF($B122="WIP","WIP",IFERROR(INDEX(Lists!$G$4:$G$10,MATCH($D122,Lists!$F$4:$F$10,0)),"Unmapped")))</f>
        <v/>
      </c>
      <c r="F122" s="16" t="n"/>
      <c r="G122" s="16" t="inlineStr">
        <is>
          <t>Presynct</t>
        </is>
      </c>
      <c r="H122" s="14" t="inlineStr">
        <is>
          <t>2510804</t>
        </is>
      </c>
      <c r="I122" s="16" t="inlineStr">
        <is>
          <t xml:space="preserve">Presynct - QLD - Condeco Desk Booking System INV 10199 Revenue (Nov 2025 - Oct 2025) </t>
        </is>
      </c>
      <c r="J122" s="14" t="n"/>
      <c r="K122" s="17" t="n">
        <v>439.33</v>
      </c>
      <c r="L122" s="18">
        <f>IF($K122="","",IF($E122="Production",$K122-N($AD122),$K122))</f>
        <v/>
      </c>
      <c r="M122" s="18">
        <f>IF($E122="Production",IF($K122="","",$K122-(N($AF122)+N($AG122))),IF($E122="Consulting",IF($K122="","",$K122-(N($AL122)+N($AM122)+N($AN122))),""))</f>
        <v/>
      </c>
      <c r="N122" s="19">
        <f>IFERROR($M122/$K122,"")</f>
        <v/>
      </c>
      <c r="O122" s="13">
        <f>IF(COUNTA($B122:$K122)=0,"",IF($C122="","No date",IF(AND($C122&gt;=Lists!$B$3,$C122&lt;Lists!$B$4),"In FY27","Outside FY27")))</f>
        <v/>
      </c>
      <c r="P122" s="13">
        <f>IF($E122&lt;&gt;"WIP","",IF($H122="","",IF(COUNTIFS($E$2:$E$20000,"&lt;&gt;WIP",$H$2:$H$20000,$H122)&gt;0,"Job already invoiced","")))</f>
        <v/>
      </c>
      <c r="Q122" s="16" t="n"/>
      <c r="R122" s="16" t="n"/>
      <c r="S122" s="15" t="n"/>
      <c r="T122" s="14" t="n"/>
      <c r="U122" s="14" t="n"/>
      <c r="V122" s="14" t="n"/>
      <c r="W122" s="14" t="n"/>
      <c r="X122" s="14" t="n"/>
      <c r="Y122" s="14" t="n"/>
      <c r="Z122" s="14" t="n"/>
      <c r="AA122" s="14" t="n"/>
      <c r="AB122" s="14" t="n"/>
      <c r="AC122" s="17" t="n"/>
      <c r="AD122" s="17" t="n"/>
      <c r="AE122" s="19">
        <f>IF($E122&lt;&gt;"Production","",IFERROR($AD122/$L122,""))</f>
        <v/>
      </c>
      <c r="AF122" s="17" t="n"/>
      <c r="AG122" s="17" t="n"/>
      <c r="AH122" s="16" t="n"/>
      <c r="AI122" s="17" t="n"/>
      <c r="AJ122" s="17" t="n"/>
      <c r="AK122" s="17" t="n"/>
      <c r="AL122" s="17" t="n"/>
      <c r="AM122" s="17" t="n"/>
      <c r="AN122" s="17" t="n"/>
    </row>
    <row r="123" ht="15" customHeight="1">
      <c r="A123" s="13">
        <f>IF(COUNTA($B123:$K123)=0,"",ROW()-1)</f>
        <v/>
      </c>
      <c r="B123" s="14" t="inlineStr">
        <is>
          <t>WIP</t>
        </is>
      </c>
      <c r="C123" s="15" t="n">
        <v>46234</v>
      </c>
      <c r="D123" s="16" t="inlineStr">
        <is>
          <t>Integration</t>
        </is>
      </c>
      <c r="E123" s="13">
        <f>IF($B123="","",IF($B123="WIP","WIP",IFERROR(INDEX(Lists!$G$4:$G$10,MATCH($D123,Lists!$F$4:$F$10,0)),"Unmapped")))</f>
        <v/>
      </c>
      <c r="F123" s="16" t="n"/>
      <c r="G123" s="16" t="inlineStr">
        <is>
          <t>NSW Property</t>
        </is>
      </c>
      <c r="H123" s="14" t="n">
        <v>2719</v>
      </c>
      <c r="I123" s="16" t="inlineStr">
        <is>
          <t>NSW Property GSP Proxyclick INV 10176 Revenue (Dec 2025 - Nov 2026)</t>
        </is>
      </c>
      <c r="J123" s="14" t="n"/>
      <c r="K123" s="17" t="n">
        <v>381.15</v>
      </c>
      <c r="L123" s="18">
        <f>IF($K123="","",IF($E123="Production",$K123-N($AD123),$K123))</f>
        <v/>
      </c>
      <c r="M123" s="18">
        <f>IF($E123="Production",IF($K123="","",$K123-(N($AF123)+N($AG123))),IF($E123="Consulting",IF($K123="","",$K123-(N($AL123)+N($AM123)+N($AN123))),""))</f>
        <v/>
      </c>
      <c r="N123" s="19">
        <f>IFERROR($M123/$K123,"")</f>
        <v/>
      </c>
      <c r="O123" s="13">
        <f>IF(COUNTA($B123:$K123)=0,"",IF($C123="","No date",IF(AND($C123&gt;=Lists!$B$3,$C123&lt;Lists!$B$4),"In FY27","Outside FY27")))</f>
        <v/>
      </c>
      <c r="P123" s="13">
        <f>IF($E123&lt;&gt;"WIP","",IF($H123="","",IF(COUNTIFS($E$2:$E$20000,"&lt;&gt;WIP",$H$2:$H$20000,$H123)&gt;0,"Job already invoiced","")))</f>
        <v/>
      </c>
      <c r="Q123" s="16" t="n"/>
      <c r="R123" s="16" t="n"/>
      <c r="S123" s="15" t="n"/>
      <c r="T123" s="14" t="n"/>
      <c r="U123" s="14" t="n"/>
      <c r="V123" s="14" t="n"/>
      <c r="W123" s="14" t="n"/>
      <c r="X123" s="14" t="n"/>
      <c r="Y123" s="14" t="n"/>
      <c r="Z123" s="14" t="n"/>
      <c r="AA123" s="14" t="n"/>
      <c r="AB123" s="14" t="n"/>
      <c r="AC123" s="17" t="n"/>
      <c r="AD123" s="17" t="n"/>
      <c r="AE123" s="19">
        <f>IF($E123&lt;&gt;"Production","",IFERROR($AD123/$L123,""))</f>
        <v/>
      </c>
      <c r="AF123" s="17" t="n"/>
      <c r="AG123" s="17" t="n"/>
      <c r="AH123" s="16" t="n"/>
      <c r="AI123" s="17" t="n"/>
      <c r="AJ123" s="17" t="n"/>
      <c r="AK123" s="17" t="n"/>
      <c r="AL123" s="17" t="n"/>
      <c r="AM123" s="17" t="n"/>
      <c r="AN123" s="17" t="n"/>
    </row>
    <row r="124" ht="15" customHeight="1">
      <c r="A124" s="13">
        <f>IF(COUNTA($B124:$K124)=0,"",ROW()-1)</f>
        <v/>
      </c>
      <c r="B124" s="14" t="inlineStr">
        <is>
          <t>WIP</t>
        </is>
      </c>
      <c r="C124" s="15" t="n">
        <v>46234</v>
      </c>
      <c r="D124" s="16" t="inlineStr">
        <is>
          <t>Integration</t>
        </is>
      </c>
      <c r="E124" s="13">
        <f>IF($B124="","",IF($B124="WIP","WIP",IFERROR(INDEX(Lists!$G$4:$G$10,MATCH($D124,Lists!$F$4:$F$10,0)),"Unmapped")))</f>
        <v/>
      </c>
      <c r="F124" s="16" t="n"/>
      <c r="G124" s="16" t="inlineStr">
        <is>
          <t>APA</t>
        </is>
      </c>
      <c r="H124" s="14" t="n">
        <v>2834</v>
      </c>
      <c r="I124" s="16" t="inlineStr">
        <is>
          <t>APA Young Year 4 INV-10280 Revenue (Mar 2026 - Feb 2027)</t>
        </is>
      </c>
      <c r="J124" s="14" t="n"/>
      <c r="K124" s="17" t="n">
        <v>312.9</v>
      </c>
      <c r="L124" s="18">
        <f>IF($K124="","",IF($E124="Production",$K124-N($AD124),$K124))</f>
        <v/>
      </c>
      <c r="M124" s="18">
        <f>IF($E124="Production",IF($K124="","",$K124-(N($AF124)+N($AG124))),IF($E124="Consulting",IF($K124="","",$K124-(N($AL124)+N($AM124)+N($AN124))),""))</f>
        <v/>
      </c>
      <c r="N124" s="19">
        <f>IFERROR($M124/$K124,"")</f>
        <v/>
      </c>
      <c r="O124" s="13">
        <f>IF(COUNTA($B124:$K124)=0,"",IF($C124="","No date",IF(AND($C124&gt;=Lists!$B$3,$C124&lt;Lists!$B$4),"In FY27","Outside FY27")))</f>
        <v/>
      </c>
      <c r="P124" s="13">
        <f>IF($E124&lt;&gt;"WIP","",IF($H124="","",IF(COUNTIFS($E$2:$E$20000,"&lt;&gt;WIP",$H$2:$H$20000,$H124)&gt;0,"Job already invoiced","")))</f>
        <v/>
      </c>
      <c r="Q124" s="16" t="n"/>
      <c r="R124" s="16" t="n"/>
      <c r="S124" s="15" t="n"/>
      <c r="T124" s="14" t="n"/>
      <c r="U124" s="14" t="n"/>
      <c r="V124" s="14" t="n"/>
      <c r="W124" s="14" t="n"/>
      <c r="X124" s="14" t="n"/>
      <c r="Y124" s="14" t="n"/>
      <c r="Z124" s="14" t="n"/>
      <c r="AA124" s="14" t="n"/>
      <c r="AB124" s="14" t="n"/>
      <c r="AC124" s="17" t="n"/>
      <c r="AD124" s="17" t="n"/>
      <c r="AE124" s="19">
        <f>IF($E124&lt;&gt;"Production","",IFERROR($AD124/$L124,""))</f>
        <v/>
      </c>
      <c r="AF124" s="17" t="n"/>
      <c r="AG124" s="17" t="n"/>
      <c r="AH124" s="16" t="n"/>
      <c r="AI124" s="17" t="n"/>
      <c r="AJ124" s="17" t="n"/>
      <c r="AK124" s="17" t="n"/>
      <c r="AL124" s="17" t="n"/>
      <c r="AM124" s="17" t="n"/>
      <c r="AN124" s="17" t="n"/>
    </row>
    <row r="125" ht="15" customHeight="1">
      <c r="A125" s="13">
        <f>IF(COUNTA($B125:$K125)=0,"",ROW()-1)</f>
        <v/>
      </c>
      <c r="B125" s="14" t="inlineStr">
        <is>
          <t>WIP</t>
        </is>
      </c>
      <c r="C125" s="15" t="n">
        <v>46234</v>
      </c>
      <c r="D125" s="16" t="inlineStr">
        <is>
          <t>Integration</t>
        </is>
      </c>
      <c r="E125" s="13">
        <f>IF($B125="","",IF($B125="WIP","WIP",IFERROR(INDEX(Lists!$G$4:$G$10,MATCH($D125,Lists!$F$4:$F$10,0)),"Unmapped")))</f>
        <v/>
      </c>
      <c r="F125" s="16" t="n"/>
      <c r="G125" s="16" t="inlineStr">
        <is>
          <t>NSW Property</t>
        </is>
      </c>
      <c r="H125" s="14" t="n">
        <v>3027</v>
      </c>
      <c r="I125" s="16" t="inlineStr">
        <is>
          <t>NSW Property  - 231 Eliz L13 Touchdown - Condeco Desk Booking System (INV10391 Revenue)</t>
        </is>
      </c>
      <c r="J125" s="14" t="n"/>
      <c r="K125" s="17" t="n">
        <v>721.7</v>
      </c>
      <c r="L125" s="18">
        <f>IF($K125="","",IF($E125="Production",$K125-N($AD125),$K125))</f>
        <v/>
      </c>
      <c r="M125" s="18">
        <f>IF($E125="Production",IF($K125="","",$K125-(N($AF125)+N($AG125))),IF($E125="Consulting",IF($K125="","",$K125-(N($AL125)+N($AM125)+N($AN125))),""))</f>
        <v/>
      </c>
      <c r="N125" s="19">
        <f>IFERROR($M125/$K125,"")</f>
        <v/>
      </c>
      <c r="O125" s="13">
        <f>IF(COUNTA($B125:$K125)=0,"",IF($C125="","No date",IF(AND($C125&gt;=Lists!$B$3,$C125&lt;Lists!$B$4),"In FY27","Outside FY27")))</f>
        <v/>
      </c>
      <c r="P125" s="13">
        <f>IF($E125&lt;&gt;"WIP","",IF($H125="","",IF(COUNTIFS($E$2:$E$20000,"&lt;&gt;WIP",$H$2:$H$20000,$H125)&gt;0,"Job already invoiced","")))</f>
        <v/>
      </c>
      <c r="Q125" s="16" t="n"/>
      <c r="R125" s="16" t="n"/>
      <c r="S125" s="15" t="n"/>
      <c r="T125" s="14" t="n"/>
      <c r="U125" s="14" t="n"/>
      <c r="V125" s="14" t="n"/>
      <c r="W125" s="14" t="n"/>
      <c r="X125" s="14" t="n"/>
      <c r="Y125" s="14" t="n"/>
      <c r="Z125" s="14" t="n"/>
      <c r="AA125" s="14" t="n"/>
      <c r="AB125" s="14" t="n"/>
      <c r="AC125" s="17" t="n"/>
      <c r="AD125" s="17" t="n"/>
      <c r="AE125" s="19">
        <f>IF($E125&lt;&gt;"Production","",IFERROR($AD125/$L125,""))</f>
        <v/>
      </c>
      <c r="AF125" s="17" t="n"/>
      <c r="AG125" s="17" t="n"/>
      <c r="AH125" s="16" t="n"/>
      <c r="AI125" s="17" t="n"/>
      <c r="AJ125" s="17" t="n"/>
      <c r="AK125" s="17" t="n"/>
      <c r="AL125" s="17" t="n"/>
      <c r="AM125" s="17" t="n"/>
      <c r="AN125" s="17" t="n"/>
    </row>
    <row r="126" ht="15" customHeight="1">
      <c r="A126" s="13">
        <f>IF(COUNTA($B126:$K126)=0,"",ROW()-1)</f>
        <v/>
      </c>
      <c r="B126" s="14" t="inlineStr">
        <is>
          <t>WIP</t>
        </is>
      </c>
      <c r="C126" s="15" t="n">
        <v>46234</v>
      </c>
      <c r="D126" s="16" t="inlineStr">
        <is>
          <t>Integration</t>
        </is>
      </c>
      <c r="E126" s="13">
        <f>IF($B126="","",IF($B126="WIP","WIP",IFERROR(INDEX(Lists!$G$4:$G$10,MATCH($D126,Lists!$F$4:$F$10,0)),"Unmapped")))</f>
        <v/>
      </c>
      <c r="F126" s="16" t="n"/>
      <c r="G126" s="16" t="inlineStr">
        <is>
          <t>NSW Property</t>
        </is>
      </c>
      <c r="H126" s="14" t="n">
        <v>3027</v>
      </c>
      <c r="I126" s="16" t="inlineStr">
        <is>
          <t>NSW Property - 231 Eliz Workplace L1 (INV10392 Revenue)</t>
        </is>
      </c>
      <c r="J126" s="14" t="n"/>
      <c r="K126" s="17" t="n">
        <v>876.35</v>
      </c>
      <c r="L126" s="18">
        <f>IF($K126="","",IF($E126="Production",$K126-N($AD126),$K126))</f>
        <v/>
      </c>
      <c r="M126" s="18">
        <f>IF($E126="Production",IF($K126="","",$K126-(N($AF126)+N($AG126))),IF($E126="Consulting",IF($K126="","",$K126-(N($AL126)+N($AM126)+N($AN126))),""))</f>
        <v/>
      </c>
      <c r="N126" s="19">
        <f>IFERROR($M126/$K126,"")</f>
        <v/>
      </c>
      <c r="O126" s="13">
        <f>IF(COUNTA($B126:$K126)=0,"",IF($C126="","No date",IF(AND($C126&gt;=Lists!$B$3,$C126&lt;Lists!$B$4),"In FY27","Outside FY27")))</f>
        <v/>
      </c>
      <c r="P126" s="13">
        <f>IF($E126&lt;&gt;"WIP","",IF($H126="","",IF(COUNTIFS($E$2:$E$20000,"&lt;&gt;WIP",$H$2:$H$20000,$H126)&gt;0,"Job already invoiced","")))</f>
        <v/>
      </c>
      <c r="Q126" s="16" t="n"/>
      <c r="R126" s="16" t="n"/>
      <c r="S126" s="15" t="n"/>
      <c r="T126" s="14" t="n"/>
      <c r="U126" s="14" t="n"/>
      <c r="V126" s="14" t="n"/>
      <c r="W126" s="14" t="n"/>
      <c r="X126" s="14" t="n"/>
      <c r="Y126" s="14" t="n"/>
      <c r="Z126" s="14" t="n"/>
      <c r="AA126" s="14" t="n"/>
      <c r="AB126" s="14" t="n"/>
      <c r="AC126" s="17" t="n"/>
      <c r="AD126" s="17" t="n"/>
      <c r="AE126" s="19">
        <f>IF($E126&lt;&gt;"Production","",IFERROR($AD126/$L126,""))</f>
        <v/>
      </c>
      <c r="AF126" s="17" t="n"/>
      <c r="AG126" s="17" t="n"/>
      <c r="AH126" s="16" t="n"/>
      <c r="AI126" s="17" t="n"/>
      <c r="AJ126" s="17" t="n"/>
      <c r="AK126" s="17" t="n"/>
      <c r="AL126" s="17" t="n"/>
      <c r="AM126" s="17" t="n"/>
      <c r="AN126" s="17" t="n"/>
    </row>
    <row r="127" ht="15" customHeight="1">
      <c r="A127" s="13">
        <f>IF(COUNTA($B127:$K127)=0,"",ROW()-1)</f>
        <v/>
      </c>
      <c r="B127" s="14" t="inlineStr">
        <is>
          <t>WIP</t>
        </is>
      </c>
      <c r="C127" s="15" t="n">
        <v>46234</v>
      </c>
      <c r="D127" s="16" t="inlineStr">
        <is>
          <t>Integration</t>
        </is>
      </c>
      <c r="E127" s="13">
        <f>IF($B127="","",IF($B127="WIP","WIP",IFERROR(INDEX(Lists!$G$4:$G$10,MATCH($D127,Lists!$F$4:$F$10,0)),"Unmapped")))</f>
        <v/>
      </c>
      <c r="F127" s="16" t="n"/>
      <c r="G127" s="16" t="inlineStr">
        <is>
          <t>NSW Property</t>
        </is>
      </c>
      <c r="H127" s="14" t="n">
        <v>25060301</v>
      </c>
      <c r="I127" s="16" t="inlineStr">
        <is>
          <t>NSW Property - 6PSQ Workplace L12 Hub (INV10393 Revenue)</t>
        </is>
      </c>
      <c r="J127" s="14" t="n"/>
      <c r="K127" s="17" t="n">
        <v>2964.14</v>
      </c>
      <c r="L127" s="18">
        <f>IF($K127="","",IF($E127="Production",$K127-N($AD127),$K127))</f>
        <v/>
      </c>
      <c r="M127" s="18">
        <f>IF($E127="Production",IF($K127="","",$K127-(N($AF127)+N($AG127))),IF($E127="Consulting",IF($K127="","",$K127-(N($AL127)+N($AM127)+N($AN127))),""))</f>
        <v/>
      </c>
      <c r="N127" s="19">
        <f>IFERROR($M127/$K127,"")</f>
        <v/>
      </c>
      <c r="O127" s="13">
        <f>IF(COUNTA($B127:$K127)=0,"",IF($C127="","No date",IF(AND($C127&gt;=Lists!$B$3,$C127&lt;Lists!$B$4),"In FY27","Outside FY27")))</f>
        <v/>
      </c>
      <c r="P127" s="13">
        <f>IF($E127&lt;&gt;"WIP","",IF($H127="","",IF(COUNTIFS($E$2:$E$20000,"&lt;&gt;WIP",$H$2:$H$20000,$H127)&gt;0,"Job already invoiced","")))</f>
        <v/>
      </c>
      <c r="Q127" s="16" t="n"/>
      <c r="R127" s="16" t="n"/>
      <c r="S127" s="15" t="n"/>
      <c r="T127" s="14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7" t="n"/>
      <c r="AD127" s="17" t="n"/>
      <c r="AE127" s="19">
        <f>IF($E127&lt;&gt;"Production","",IFERROR($AD127/$L127,""))</f>
        <v/>
      </c>
      <c r="AF127" s="17" t="n"/>
      <c r="AG127" s="17" t="n"/>
      <c r="AH127" s="16" t="n"/>
      <c r="AI127" s="17" t="n"/>
      <c r="AJ127" s="17" t="n"/>
      <c r="AK127" s="17" t="n"/>
      <c r="AL127" s="17" t="n"/>
      <c r="AM127" s="17" t="n"/>
      <c r="AN127" s="17" t="n"/>
    </row>
    <row r="128" ht="15" customHeight="1">
      <c r="A128" s="13">
        <f>IF(COUNTA($B128:$K128)=0,"",ROW()-1)</f>
        <v/>
      </c>
      <c r="B128" s="14" t="inlineStr">
        <is>
          <t>WIP</t>
        </is>
      </c>
      <c r="C128" s="15" t="n">
        <v>46234</v>
      </c>
      <c r="D128" s="16" t="inlineStr">
        <is>
          <t>Integration</t>
        </is>
      </c>
      <c r="E128" s="13">
        <f>IF($B128="","",IF($B128="WIP","WIP",IFERROR(INDEX(Lists!$G$4:$G$10,MATCH($D128,Lists!$F$4:$F$10,0)),"Unmapped")))</f>
        <v/>
      </c>
      <c r="F128" s="16" t="n"/>
      <c r="G128" s="16" t="inlineStr">
        <is>
          <t>NSW Property</t>
        </is>
      </c>
      <c r="H128" s="14" t="n">
        <v>2519</v>
      </c>
      <c r="I128" s="16" t="inlineStr">
        <is>
          <t>NSW Property - 6PSQ L11 Touchdown (INV10394 Revenue)</t>
        </is>
      </c>
      <c r="J128" s="14" t="n"/>
      <c r="K128" s="17" t="n">
        <v>799.03</v>
      </c>
      <c r="L128" s="18">
        <f>IF($K128="","",IF($E128="Production",$K128-N($AD128),$K128))</f>
        <v/>
      </c>
      <c r="M128" s="18">
        <f>IF($E128="Production",IF($K128="","",$K128-(N($AF128)+N($AG128))),IF($E128="Consulting",IF($K128="","",$K128-(N($AL128)+N($AM128)+N($AN128))),""))</f>
        <v/>
      </c>
      <c r="N128" s="19">
        <f>IFERROR($M128/$K128,"")</f>
        <v/>
      </c>
      <c r="O128" s="13">
        <f>IF(COUNTA($B128:$K128)=0,"",IF($C128="","No date",IF(AND($C128&gt;=Lists!$B$3,$C128&lt;Lists!$B$4),"In FY27","Outside FY27")))</f>
        <v/>
      </c>
      <c r="P128" s="13">
        <f>IF($E128&lt;&gt;"WIP","",IF($H128="","",IF(COUNTIFS($E$2:$E$20000,"&lt;&gt;WIP",$H$2:$H$20000,$H128)&gt;0,"Job already invoiced","")))</f>
        <v/>
      </c>
      <c r="Q128" s="16" t="n"/>
      <c r="R128" s="16" t="n"/>
      <c r="S128" s="15" t="n"/>
      <c r="T128" s="14" t="n"/>
      <c r="U128" s="14" t="n"/>
      <c r="V128" s="14" t="n"/>
      <c r="W128" s="14" t="n"/>
      <c r="X128" s="14" t="n"/>
      <c r="Y128" s="14" t="n"/>
      <c r="Z128" s="14" t="n"/>
      <c r="AA128" s="14" t="n"/>
      <c r="AB128" s="14" t="n"/>
      <c r="AC128" s="17" t="n"/>
      <c r="AD128" s="17" t="n"/>
      <c r="AE128" s="19">
        <f>IF($E128&lt;&gt;"Production","",IFERROR($AD128/$L128,""))</f>
        <v/>
      </c>
      <c r="AF128" s="17" t="n"/>
      <c r="AG128" s="17" t="n"/>
      <c r="AH128" s="16" t="n"/>
      <c r="AI128" s="17" t="n"/>
      <c r="AJ128" s="17" t="n"/>
      <c r="AK128" s="17" t="n"/>
      <c r="AL128" s="17" t="n"/>
      <c r="AM128" s="17" t="n"/>
      <c r="AN128" s="17" t="n"/>
    </row>
    <row r="129" ht="15" customHeight="1">
      <c r="A129" s="13">
        <f>IF(COUNTA($B129:$K129)=0,"",ROW()-1)</f>
        <v/>
      </c>
      <c r="B129" s="14" t="inlineStr">
        <is>
          <t>WIP</t>
        </is>
      </c>
      <c r="C129" s="15" t="n">
        <v>46234</v>
      </c>
      <c r="D129" s="16" t="inlineStr">
        <is>
          <t>Integration</t>
        </is>
      </c>
      <c r="E129" s="13">
        <f>IF($B129="","",IF($B129="WIP","WIP",IFERROR(INDEX(Lists!$G$4:$G$10,MATCH($D129,Lists!$F$4:$F$10,0)),"Unmapped")))</f>
        <v/>
      </c>
      <c r="F129" s="16" t="n"/>
      <c r="G129" s="16" t="inlineStr">
        <is>
          <t>NSW Property</t>
        </is>
      </c>
      <c r="H129" s="14" t="n">
        <v>3068</v>
      </c>
      <c r="I129" s="16" t="inlineStr">
        <is>
          <t>NSW Property  – Penrith 50 Belmore St – Workplace Hub (INV10395 Revenue)</t>
        </is>
      </c>
      <c r="J129" s="14" t="n"/>
      <c r="K129" s="17" t="n">
        <v>154.65</v>
      </c>
      <c r="L129" s="18">
        <f>IF($K129="","",IF($E129="Production",$K129-N($AD129),$K129))</f>
        <v/>
      </c>
      <c r="M129" s="18">
        <f>IF($E129="Production",IF($K129="","",$K129-(N($AF129)+N($AG129))),IF($E129="Consulting",IF($K129="","",$K129-(N($AL129)+N($AM129)+N($AN129))),""))</f>
        <v/>
      </c>
      <c r="N129" s="19">
        <f>IFERROR($M129/$K129,"")</f>
        <v/>
      </c>
      <c r="O129" s="13">
        <f>IF(COUNTA($B129:$K129)=0,"",IF($C129="","No date",IF(AND($C129&gt;=Lists!$B$3,$C129&lt;Lists!$B$4),"In FY27","Outside FY27")))</f>
        <v/>
      </c>
      <c r="P129" s="13">
        <f>IF($E129&lt;&gt;"WIP","",IF($H129="","",IF(COUNTIFS($E$2:$E$20000,"&lt;&gt;WIP",$H$2:$H$20000,$H129)&gt;0,"Job already invoiced","")))</f>
        <v/>
      </c>
      <c r="Q129" s="16" t="n"/>
      <c r="R129" s="16" t="n"/>
      <c r="S129" s="15" t="n"/>
      <c r="T129" s="14" t="n"/>
      <c r="U129" s="14" t="n"/>
      <c r="V129" s="14" t="n"/>
      <c r="W129" s="14" t="n"/>
      <c r="X129" s="14" t="n"/>
      <c r="Y129" s="14" t="n"/>
      <c r="Z129" s="14" t="n"/>
      <c r="AA129" s="14" t="n"/>
      <c r="AB129" s="14" t="n"/>
      <c r="AC129" s="17" t="n"/>
      <c r="AD129" s="17" t="n"/>
      <c r="AE129" s="19">
        <f>IF($E129&lt;&gt;"Production","",IFERROR($AD129/$L129,""))</f>
        <v/>
      </c>
      <c r="AF129" s="17" t="n"/>
      <c r="AG129" s="17" t="n"/>
      <c r="AH129" s="16" t="n"/>
      <c r="AI129" s="17" t="n"/>
      <c r="AJ129" s="17" t="n"/>
      <c r="AK129" s="17" t="n"/>
      <c r="AL129" s="17" t="n"/>
      <c r="AM129" s="17" t="n"/>
      <c r="AN129" s="17" t="n"/>
    </row>
    <row r="130" ht="15" customHeight="1">
      <c r="A130" s="13">
        <f>IF(COUNTA($B130:$K130)=0,"",ROW()-1)</f>
        <v/>
      </c>
      <c r="B130" s="14" t="inlineStr">
        <is>
          <t>WIP</t>
        </is>
      </c>
      <c r="C130" s="15" t="n">
        <v>46234</v>
      </c>
      <c r="D130" s="16" t="inlineStr">
        <is>
          <t>Integration</t>
        </is>
      </c>
      <c r="E130" s="13">
        <f>IF($B130="","",IF($B130="WIP","WIP",IFERROR(INDEX(Lists!$G$4:$G$10,MATCH($D130,Lists!$F$4:$F$10,0)),"Unmapped")))</f>
        <v/>
      </c>
      <c r="F130" s="16" t="n"/>
      <c r="G130" s="16" t="inlineStr">
        <is>
          <t>NSW Property</t>
        </is>
      </c>
      <c r="H130" s="14" t="n">
        <v>25051302</v>
      </c>
      <c r="I130" s="16" t="inlineStr">
        <is>
          <t>NSW Property - Penrith BDA (INV10396)</t>
        </is>
      </c>
      <c r="J130" s="14" t="n"/>
      <c r="K130" s="17" t="n">
        <v>1494.96</v>
      </c>
      <c r="L130" s="18">
        <f>IF($K130="","",IF($E130="Production",$K130-N($AD130),$K130))</f>
        <v/>
      </c>
      <c r="M130" s="18">
        <f>IF($E130="Production",IF($K130="","",$K130-(N($AF130)+N($AG130))),IF($E130="Consulting",IF($K130="","",$K130-(N($AL130)+N($AM130)+N($AN130))),""))</f>
        <v/>
      </c>
      <c r="N130" s="19">
        <f>IFERROR($M130/$K130,"")</f>
        <v/>
      </c>
      <c r="O130" s="13">
        <f>IF(COUNTA($B130:$K130)=0,"",IF($C130="","No date",IF(AND($C130&gt;=Lists!$B$3,$C130&lt;Lists!$B$4),"In FY27","Outside FY27")))</f>
        <v/>
      </c>
      <c r="P130" s="13">
        <f>IF($E130&lt;&gt;"WIP","",IF($H130="","",IF(COUNTIFS($E$2:$E$20000,"&lt;&gt;WIP",$H$2:$H$20000,$H130)&gt;0,"Job already invoiced","")))</f>
        <v/>
      </c>
      <c r="Q130" s="16" t="n"/>
      <c r="R130" s="16" t="n"/>
      <c r="S130" s="15" t="n"/>
      <c r="T130" s="14" t="n"/>
      <c r="U130" s="14" t="n"/>
      <c r="V130" s="14" t="n"/>
      <c r="W130" s="14" t="n"/>
      <c r="X130" s="14" t="n"/>
      <c r="Y130" s="14" t="n"/>
      <c r="Z130" s="14" t="n"/>
      <c r="AA130" s="14" t="n"/>
      <c r="AB130" s="14" t="n"/>
      <c r="AC130" s="17" t="n"/>
      <c r="AD130" s="17" t="n"/>
      <c r="AE130" s="19">
        <f>IF($E130&lt;&gt;"Production","",IFERROR($AD130/$L130,""))</f>
        <v/>
      </c>
      <c r="AF130" s="17" t="n"/>
      <c r="AG130" s="17" t="n"/>
      <c r="AH130" s="16" t="n"/>
      <c r="AI130" s="17" t="n"/>
      <c r="AJ130" s="17" t="n"/>
      <c r="AK130" s="17" t="n"/>
      <c r="AL130" s="17" t="n"/>
      <c r="AM130" s="17" t="n"/>
      <c r="AN130" s="17" t="n"/>
    </row>
    <row r="131" ht="15" customHeight="1">
      <c r="A131" s="13">
        <f>IF(COUNTA($B131:$K131)=0,"",ROW()-1)</f>
        <v/>
      </c>
      <c r="B131" s="14" t="inlineStr">
        <is>
          <t>WIP</t>
        </is>
      </c>
      <c r="C131" s="15" t="n">
        <v>46234</v>
      </c>
      <c r="D131" s="16" t="inlineStr">
        <is>
          <t>Integration</t>
        </is>
      </c>
      <c r="E131" s="13">
        <f>IF($B131="","",IF($B131="WIP","WIP",IFERROR(INDEX(Lists!$G$4:$G$10,MATCH($D131,Lists!$F$4:$F$10,0)),"Unmapped")))</f>
        <v/>
      </c>
      <c r="F131" s="16" t="n"/>
      <c r="G131" s="16" t="inlineStr">
        <is>
          <t>NSW Property</t>
        </is>
      </c>
      <c r="H131" s="14" t="n">
        <v>25060307</v>
      </c>
      <c r="I131" s="16" t="inlineStr">
        <is>
          <t>NSW Property - RA Molesworth St (INV10397 Revenue)</t>
        </is>
      </c>
      <c r="J131" s="14" t="n"/>
      <c r="K131" s="17" t="n">
        <v>786.14</v>
      </c>
      <c r="L131" s="18">
        <f>IF($K131="","",IF($E131="Production",$K131-N($AD131),$K131))</f>
        <v/>
      </c>
      <c r="M131" s="18">
        <f>IF($E131="Production",IF($K131="","",$K131-(N($AF131)+N($AG131))),IF($E131="Consulting",IF($K131="","",$K131-(N($AL131)+N($AM131)+N($AN131))),""))</f>
        <v/>
      </c>
      <c r="N131" s="19">
        <f>IFERROR($M131/$K131,"")</f>
        <v/>
      </c>
      <c r="O131" s="13">
        <f>IF(COUNTA($B131:$K131)=0,"",IF($C131="","No date",IF(AND($C131&gt;=Lists!$B$3,$C131&lt;Lists!$B$4),"In FY27","Outside FY27")))</f>
        <v/>
      </c>
      <c r="P131" s="13">
        <f>IF($E131&lt;&gt;"WIP","",IF($H131="","",IF(COUNTIFS($E$2:$E$20000,"&lt;&gt;WIP",$H$2:$H$20000,$H131)&gt;0,"Job already invoiced","")))</f>
        <v/>
      </c>
      <c r="Q131" s="16" t="n"/>
      <c r="R131" s="16" t="n"/>
      <c r="S131" s="15" t="n"/>
      <c r="T131" s="14" t="n"/>
      <c r="U131" s="14" t="n"/>
      <c r="V131" s="14" t="n"/>
      <c r="W131" s="14" t="n"/>
      <c r="X131" s="14" t="n"/>
      <c r="Y131" s="14" t="n"/>
      <c r="Z131" s="14" t="n"/>
      <c r="AA131" s="14" t="n"/>
      <c r="AB131" s="14" t="n"/>
      <c r="AC131" s="17" t="n"/>
      <c r="AD131" s="17" t="n"/>
      <c r="AE131" s="19">
        <f>IF($E131&lt;&gt;"Production","",IFERROR($AD131/$L131,""))</f>
        <v/>
      </c>
      <c r="AF131" s="17" t="n"/>
      <c r="AG131" s="17" t="n"/>
      <c r="AH131" s="16" t="n"/>
      <c r="AI131" s="17" t="n"/>
      <c r="AJ131" s="17" t="n"/>
      <c r="AK131" s="17" t="n"/>
      <c r="AL131" s="17" t="n"/>
      <c r="AM131" s="17" t="n"/>
      <c r="AN131" s="17" t="n"/>
    </row>
    <row r="132" ht="15" customHeight="1">
      <c r="A132" s="13">
        <f>IF(COUNTA($B132:$K132)=0,"",ROW()-1)</f>
        <v/>
      </c>
      <c r="B132" s="14" t="inlineStr">
        <is>
          <t>WIP</t>
        </is>
      </c>
      <c r="C132" s="15" t="n">
        <v>46234</v>
      </c>
      <c r="D132" s="16" t="inlineStr">
        <is>
          <t>Integration</t>
        </is>
      </c>
      <c r="E132" s="13">
        <f>IF($B132="","",IF($B132="WIP","WIP",IFERROR(INDEX(Lists!$G$4:$G$10,MATCH($D132,Lists!$F$4:$F$10,0)),"Unmapped")))</f>
        <v/>
      </c>
      <c r="F132" s="16" t="n"/>
      <c r="G132" s="16" t="inlineStr">
        <is>
          <t>NSW Property</t>
        </is>
      </c>
      <c r="H132" s="14" t="n">
        <v>2510805</v>
      </c>
      <c r="I132" s="16" t="inlineStr">
        <is>
          <t>NSW Property - RA Newcastle Bellvue (INV10398 Revenue)</t>
        </is>
      </c>
      <c r="J132" s="14" t="n"/>
      <c r="K132" s="17" t="n">
        <v>270.64</v>
      </c>
      <c r="L132" s="18">
        <f>IF($K132="","",IF($E132="Production",$K132-N($AD132),$K132))</f>
        <v/>
      </c>
      <c r="M132" s="18">
        <f>IF($E132="Production",IF($K132="","",$K132-(N($AF132)+N($AG132))),IF($E132="Consulting",IF($K132="","",$K132-(N($AL132)+N($AM132)+N($AN132))),""))</f>
        <v/>
      </c>
      <c r="N132" s="19">
        <f>IFERROR($M132/$K132,"")</f>
        <v/>
      </c>
      <c r="O132" s="13">
        <f>IF(COUNTA($B132:$K132)=0,"",IF($C132="","No date",IF(AND($C132&gt;=Lists!$B$3,$C132&lt;Lists!$B$4),"In FY27","Outside FY27")))</f>
        <v/>
      </c>
      <c r="P132" s="13">
        <f>IF($E132&lt;&gt;"WIP","",IF($H132="","",IF(COUNTIFS($E$2:$E$20000,"&lt;&gt;WIP",$H$2:$H$20000,$H132)&gt;0,"Job already invoiced","")))</f>
        <v/>
      </c>
      <c r="Q132" s="16" t="n"/>
      <c r="R132" s="16" t="n"/>
      <c r="S132" s="15" t="n"/>
      <c r="T132" s="14" t="n"/>
      <c r="U132" s="14" t="n"/>
      <c r="V132" s="14" t="n"/>
      <c r="W132" s="14" t="n"/>
      <c r="X132" s="14" t="n"/>
      <c r="Y132" s="14" t="n"/>
      <c r="Z132" s="14" t="n"/>
      <c r="AA132" s="14" t="n"/>
      <c r="AB132" s="14" t="n"/>
      <c r="AC132" s="17" t="n"/>
      <c r="AD132" s="17" t="n"/>
      <c r="AE132" s="19">
        <f>IF($E132&lt;&gt;"Production","",IFERROR($AD132/$L132,""))</f>
        <v/>
      </c>
      <c r="AF132" s="17" t="n"/>
      <c r="AG132" s="17" t="n"/>
      <c r="AH132" s="16" t="n"/>
      <c r="AI132" s="17" t="n"/>
      <c r="AJ132" s="17" t="n"/>
      <c r="AK132" s="17" t="n"/>
      <c r="AL132" s="17" t="n"/>
      <c r="AM132" s="17" t="n"/>
      <c r="AN132" s="17" t="n"/>
    </row>
    <row r="133" ht="15" customHeight="1">
      <c r="A133" s="13">
        <f>IF(COUNTA($B133:$K133)=0,"",ROW()-1)</f>
        <v/>
      </c>
      <c r="B133" s="14" t="inlineStr">
        <is>
          <t>WIP</t>
        </is>
      </c>
      <c r="C133" s="15" t="n">
        <v>46234</v>
      </c>
      <c r="D133" s="16" t="inlineStr">
        <is>
          <t>Integration</t>
        </is>
      </c>
      <c r="E133" s="13">
        <f>IF($B133="","",IF($B133="WIP","WIP",IFERROR(INDEX(Lists!$G$4:$G$10,MATCH($D133,Lists!$F$4:$F$10,0)),"Unmapped")))</f>
        <v/>
      </c>
      <c r="F133" s="16" t="n"/>
      <c r="G133" s="16" t="inlineStr">
        <is>
          <t>NSW Property</t>
        </is>
      </c>
      <c r="H133" s="14" t="n">
        <v>2603202</v>
      </c>
      <c r="I133" s="16" t="inlineStr">
        <is>
          <t>NSW Property - 5 O’Keefe Ave Nowra Workplace Hub (INV10399 Revenue)</t>
        </is>
      </c>
      <c r="J133" s="14" t="n"/>
      <c r="K133" s="17" t="n">
        <v>2242.44</v>
      </c>
      <c r="L133" s="18">
        <f>IF($K133="","",IF($E133="Production",$K133-N($AD133),$K133))</f>
        <v/>
      </c>
      <c r="M133" s="18">
        <f>IF($E133="Production",IF($K133="","",$K133-(N($AF133)+N($AG133))),IF($E133="Consulting",IF($K133="","",$K133-(N($AL133)+N($AM133)+N($AN133))),""))</f>
        <v/>
      </c>
      <c r="N133" s="19">
        <f>IFERROR($M133/$K133,"")</f>
        <v/>
      </c>
      <c r="O133" s="13">
        <f>IF(COUNTA($B133:$K133)=0,"",IF($C133="","No date",IF(AND($C133&gt;=Lists!$B$3,$C133&lt;Lists!$B$4),"In FY27","Outside FY27")))</f>
        <v/>
      </c>
      <c r="P133" s="13">
        <f>IF($E133&lt;&gt;"WIP","",IF($H133="","",IF(COUNTIFS($E$2:$E$20000,"&lt;&gt;WIP",$H$2:$H$20000,$H133)&gt;0,"Job already invoiced","")))</f>
        <v/>
      </c>
      <c r="Q133" s="16" t="n"/>
      <c r="R133" s="16" t="n"/>
      <c r="S133" s="15" t="n"/>
      <c r="T133" s="14" t="n"/>
      <c r="U133" s="14" t="n"/>
      <c r="V133" s="14" t="n"/>
      <c r="W133" s="14" t="n"/>
      <c r="X133" s="14" t="n"/>
      <c r="Y133" s="14" t="n"/>
      <c r="Z133" s="14" t="n"/>
      <c r="AA133" s="14" t="n"/>
      <c r="AB133" s="14" t="n"/>
      <c r="AC133" s="17" t="n"/>
      <c r="AD133" s="17" t="n"/>
      <c r="AE133" s="19">
        <f>IF($E133&lt;&gt;"Production","",IFERROR($AD133/$L133,""))</f>
        <v/>
      </c>
      <c r="AF133" s="17" t="n"/>
      <c r="AG133" s="17" t="n"/>
      <c r="AH133" s="16" t="n"/>
      <c r="AI133" s="17" t="n"/>
      <c r="AJ133" s="17" t="n"/>
      <c r="AK133" s="17" t="n"/>
      <c r="AL133" s="17" t="n"/>
      <c r="AM133" s="17" t="n"/>
      <c r="AN133" s="17" t="n"/>
    </row>
    <row r="134" ht="15" customHeight="1">
      <c r="A134" s="13">
        <f>IF(COUNTA($B134:$K134)=0,"",ROW()-1)</f>
        <v/>
      </c>
      <c r="B134" s="14" t="inlineStr">
        <is>
          <t>WIP</t>
        </is>
      </c>
      <c r="C134" s="15" t="n">
        <v>46234</v>
      </c>
      <c r="D134" s="16" t="inlineStr">
        <is>
          <t>Integration</t>
        </is>
      </c>
      <c r="E134" s="13">
        <f>IF($B134="","",IF($B134="WIP","WIP",IFERROR(INDEX(Lists!$G$4:$G$10,MATCH($D134,Lists!$F$4:$F$10,0)),"Unmapped")))</f>
        <v/>
      </c>
      <c r="F134" s="16" t="n"/>
      <c r="G134" s="16" t="inlineStr">
        <is>
          <t>NSW Property</t>
        </is>
      </c>
      <c r="H134" s="14" t="n">
        <v>25041502</v>
      </c>
      <c r="I134" s="16" t="inlineStr">
        <is>
          <t>NSW Property -  Maitland 510-516 High St WP Services (INV10400 Revenue)</t>
        </is>
      </c>
      <c r="J134" s="14" t="n"/>
      <c r="K134" s="17" t="n">
        <v>3041.47</v>
      </c>
      <c r="L134" s="18">
        <f>IF($K134="","",IF($E134="Production",$K134-N($AD134),$K134))</f>
        <v/>
      </c>
      <c r="M134" s="18">
        <f>IF($E134="Production",IF($K134="","",$K134-(N($AF134)+N($AG134))),IF($E134="Consulting",IF($K134="","",$K134-(N($AL134)+N($AM134)+N($AN134))),""))</f>
        <v/>
      </c>
      <c r="N134" s="19">
        <f>IFERROR($M134/$K134,"")</f>
        <v/>
      </c>
      <c r="O134" s="13">
        <f>IF(COUNTA($B134:$K134)=0,"",IF($C134="","No date",IF(AND($C134&gt;=Lists!$B$3,$C134&lt;Lists!$B$4),"In FY27","Outside FY27")))</f>
        <v/>
      </c>
      <c r="P134" s="13">
        <f>IF($E134&lt;&gt;"WIP","",IF($H134="","",IF(COUNTIFS($E$2:$E$20000,"&lt;&gt;WIP",$H$2:$H$20000,$H134)&gt;0,"Job already invoiced","")))</f>
        <v/>
      </c>
      <c r="Q134" s="16" t="n"/>
      <c r="R134" s="16" t="n"/>
      <c r="S134" s="15" t="n"/>
      <c r="T134" s="14" t="n"/>
      <c r="U134" s="14" t="n"/>
      <c r="V134" s="14" t="n"/>
      <c r="W134" s="14" t="n"/>
      <c r="X134" s="14" t="n"/>
      <c r="Y134" s="14" t="n"/>
      <c r="Z134" s="14" t="n"/>
      <c r="AA134" s="14" t="n"/>
      <c r="AB134" s="14" t="n"/>
      <c r="AC134" s="17" t="n"/>
      <c r="AD134" s="17" t="n"/>
      <c r="AE134" s="19">
        <f>IF($E134&lt;&gt;"Production","",IFERROR($AD134/$L134,""))</f>
        <v/>
      </c>
      <c r="AF134" s="17" t="n"/>
      <c r="AG134" s="17" t="n"/>
      <c r="AH134" s="16" t="n"/>
      <c r="AI134" s="17" t="n"/>
      <c r="AJ134" s="17" t="n"/>
      <c r="AK134" s="17" t="n"/>
      <c r="AL134" s="17" t="n"/>
      <c r="AM134" s="17" t="n"/>
      <c r="AN134" s="17" t="n"/>
    </row>
    <row r="135" ht="15" customHeight="1">
      <c r="A135" s="13">
        <f>IF(COUNTA($B135:$K135)=0,"",ROW()-1)</f>
        <v/>
      </c>
      <c r="B135" s="14" t="inlineStr">
        <is>
          <t>WIP</t>
        </is>
      </c>
      <c r="C135" s="15" t="n">
        <v>46234</v>
      </c>
      <c r="D135" s="16" t="inlineStr">
        <is>
          <t>Integration</t>
        </is>
      </c>
      <c r="E135" s="13">
        <f>IF($B135="","",IF($B135="WIP","WIP",IFERROR(INDEX(Lists!$G$4:$G$10,MATCH($D135,Lists!$F$4:$F$10,0)),"Unmapped")))</f>
        <v/>
      </c>
      <c r="F135" s="16" t="n"/>
      <c r="G135" s="16" t="inlineStr">
        <is>
          <t>NSW Property</t>
        </is>
      </c>
      <c r="H135" s="14" t="n">
        <v>3068</v>
      </c>
      <c r="I135" s="16" t="inlineStr">
        <is>
          <t>NSW Property -  252 Pitt St Parkline Workplace Hub (INV10401 Revenue)</t>
        </is>
      </c>
      <c r="J135" s="14" t="n"/>
      <c r="K135" s="17" t="n">
        <v>4085.36</v>
      </c>
      <c r="L135" s="18">
        <f>IF($K135="","",IF($E135="Production",$K135-N($AD135),$K135))</f>
        <v/>
      </c>
      <c r="M135" s="18">
        <f>IF($E135="Production",IF($K135="","",$K135-(N($AF135)+N($AG135))),IF($E135="Consulting",IF($K135="","",$K135-(N($AL135)+N($AM135)+N($AN135))),""))</f>
        <v/>
      </c>
      <c r="N135" s="19">
        <f>IFERROR($M135/$K135,"")</f>
        <v/>
      </c>
      <c r="O135" s="13">
        <f>IF(COUNTA($B135:$K135)=0,"",IF($C135="","No date",IF(AND($C135&gt;=Lists!$B$3,$C135&lt;Lists!$B$4),"In FY27","Outside FY27")))</f>
        <v/>
      </c>
      <c r="P135" s="13">
        <f>IF($E135&lt;&gt;"WIP","",IF($H135="","",IF(COUNTIFS($E$2:$E$20000,"&lt;&gt;WIP",$H$2:$H$20000,$H135)&gt;0,"Job already invoiced","")))</f>
        <v/>
      </c>
      <c r="Q135" s="16" t="n"/>
      <c r="R135" s="16" t="n"/>
      <c r="S135" s="15" t="n"/>
      <c r="T135" s="14" t="n"/>
      <c r="U135" s="14" t="n"/>
      <c r="V135" s="14" t="n"/>
      <c r="W135" s="14" t="n"/>
      <c r="X135" s="14" t="n"/>
      <c r="Y135" s="14" t="n"/>
      <c r="Z135" s="14" t="n"/>
      <c r="AA135" s="14" t="n"/>
      <c r="AB135" s="14" t="n"/>
      <c r="AC135" s="17" t="n"/>
      <c r="AD135" s="17" t="n"/>
      <c r="AE135" s="19">
        <f>IF($E135&lt;&gt;"Production","",IFERROR($AD135/$L135,""))</f>
        <v/>
      </c>
      <c r="AF135" s="17" t="n"/>
      <c r="AG135" s="17" t="n"/>
      <c r="AH135" s="16" t="n"/>
      <c r="AI135" s="17" t="n"/>
      <c r="AJ135" s="17" t="n"/>
      <c r="AK135" s="17" t="n"/>
      <c r="AL135" s="17" t="n"/>
      <c r="AM135" s="17" t="n"/>
      <c r="AN135" s="17" t="n"/>
    </row>
    <row r="136" ht="15" customHeight="1">
      <c r="A136" s="13">
        <f>IF(COUNTA($B136:$K136)=0,"",ROW()-1)</f>
        <v/>
      </c>
      <c r="B136" s="14" t="inlineStr">
        <is>
          <t>WIP</t>
        </is>
      </c>
      <c r="C136" s="15" t="n">
        <v>46234</v>
      </c>
      <c r="D136" s="16" t="inlineStr">
        <is>
          <t>Integration</t>
        </is>
      </c>
      <c r="E136" s="13">
        <f>IF($B136="","",IF($B136="WIP","WIP",IFERROR(INDEX(Lists!$G$4:$G$10,MATCH($D136,Lists!$F$4:$F$10,0)),"Unmapped")))</f>
        <v/>
      </c>
      <c r="F136" s="16" t="n"/>
      <c r="G136" s="16" t="inlineStr">
        <is>
          <t>NSW Property</t>
        </is>
      </c>
      <c r="H136" s="14" t="n">
        <v>2510205</v>
      </c>
      <c r="I136" s="16" t="inlineStr">
        <is>
          <t>NSW Property - Sydney 1 Prince Albert Workplace Hub (INV10412 Revenue)</t>
        </is>
      </c>
      <c r="J136" s="14" t="n"/>
      <c r="K136" s="17" t="n">
        <v>1868.7</v>
      </c>
      <c r="L136" s="18">
        <f>IF($K136="","",IF($E136="Production",$K136-N($AD136),$K136))</f>
        <v/>
      </c>
      <c r="M136" s="18">
        <f>IF($E136="Production",IF($K136="","",$K136-(N($AF136)+N($AG136))),IF($E136="Consulting",IF($K136="","",$K136-(N($AL136)+N($AM136)+N($AN136))),""))</f>
        <v/>
      </c>
      <c r="N136" s="19">
        <f>IFERROR($M136/$K136,"")</f>
        <v/>
      </c>
      <c r="O136" s="13">
        <f>IF(COUNTA($B136:$K136)=0,"",IF($C136="","No date",IF(AND($C136&gt;=Lists!$B$3,$C136&lt;Lists!$B$4),"In FY27","Outside FY27")))</f>
        <v/>
      </c>
      <c r="P136" s="13">
        <f>IF($E136&lt;&gt;"WIP","",IF($H136="","",IF(COUNTIFS($E$2:$E$20000,"&lt;&gt;WIP",$H$2:$H$20000,$H136)&gt;0,"Job already invoiced","")))</f>
        <v/>
      </c>
      <c r="Q136" s="16" t="n"/>
      <c r="R136" s="16" t="n"/>
      <c r="S136" s="15" t="n"/>
      <c r="T136" s="14" t="n"/>
      <c r="U136" s="14" t="n"/>
      <c r="V136" s="14" t="n"/>
      <c r="W136" s="14" t="n"/>
      <c r="X136" s="14" t="n"/>
      <c r="Y136" s="14" t="n"/>
      <c r="Z136" s="14" t="n"/>
      <c r="AA136" s="14" t="n"/>
      <c r="AB136" s="14" t="n"/>
      <c r="AC136" s="17" t="n"/>
      <c r="AD136" s="17" t="n"/>
      <c r="AE136" s="19">
        <f>IF($E136&lt;&gt;"Production","",IFERROR($AD136/$L136,""))</f>
        <v/>
      </c>
      <c r="AF136" s="17" t="n"/>
      <c r="AG136" s="17" t="n"/>
      <c r="AH136" s="16" t="n"/>
      <c r="AI136" s="17" t="n"/>
      <c r="AJ136" s="17" t="n"/>
      <c r="AK136" s="17" t="n"/>
      <c r="AL136" s="17" t="n"/>
      <c r="AM136" s="17" t="n"/>
      <c r="AN136" s="17" t="n"/>
    </row>
    <row r="137" ht="15" customHeight="1">
      <c r="A137" s="13">
        <f>IF(COUNTA($B137:$K137)=0,"",ROW()-1)</f>
        <v/>
      </c>
      <c r="B137" s="14" t="inlineStr">
        <is>
          <t>WIP</t>
        </is>
      </c>
      <c r="C137" s="15" t="n">
        <v>46234</v>
      </c>
      <c r="D137" s="16" t="inlineStr">
        <is>
          <t>Onsite</t>
        </is>
      </c>
      <c r="E137" s="13">
        <f>IF($B137="","",IF($B137="WIP","WIP",IFERROR(INDEX(Lists!$G$4:$G$10,MATCH($D137,Lists!$F$4:$F$10,0)),"Unmapped")))</f>
        <v/>
      </c>
      <c r="F137" s="16" t="n"/>
      <c r="G137" s="16" t="inlineStr">
        <is>
          <t>CBA</t>
        </is>
      </c>
      <c r="H137" s="14" t="n">
        <v>26043001</v>
      </c>
      <c r="I137" s="16" t="inlineStr">
        <is>
          <t>CBA Melbourne Half of May 2026 not invoiced yet (Invoiced in June)</t>
        </is>
      </c>
      <c r="J137" s="14" t="n"/>
      <c r="K137" s="17" t="n">
        <v>-5950</v>
      </c>
      <c r="L137" s="18">
        <f>IF($K137="","",IF($E137="Production",$K137-N($AD137),$K137))</f>
        <v/>
      </c>
      <c r="M137" s="18">
        <f>IF($E137="Production",IF($K137="","",$K137-(N($AF137)+N($AG137))),IF($E137="Consulting",IF($K137="","",$K137-(N($AL137)+N($AM137)+N($AN137))),""))</f>
        <v/>
      </c>
      <c r="N137" s="19">
        <f>IFERROR($M137/$K137,"")</f>
        <v/>
      </c>
      <c r="O137" s="13">
        <f>IF(COUNTA($B137:$K137)=0,"",IF($C137="","No date",IF(AND($C137&gt;=Lists!$B$3,$C137&lt;Lists!$B$4),"In FY27","Outside FY27")))</f>
        <v/>
      </c>
      <c r="P137" s="13">
        <f>IF($E137&lt;&gt;"WIP","",IF($H137="","",IF(COUNTIFS($E$2:$E$20000,"&lt;&gt;WIP",$H$2:$H$20000,$H137)&gt;0,"Job already invoiced","")))</f>
        <v/>
      </c>
      <c r="Q137" s="16" t="n"/>
      <c r="R137" s="16" t="n"/>
      <c r="S137" s="15" t="n"/>
      <c r="T137" s="14" t="n"/>
      <c r="U137" s="14" t="n"/>
      <c r="V137" s="14" t="n"/>
      <c r="W137" s="14" t="n"/>
      <c r="X137" s="14" t="n"/>
      <c r="Y137" s="14" t="n"/>
      <c r="Z137" s="14" t="n"/>
      <c r="AA137" s="14" t="n"/>
      <c r="AB137" s="14" t="n"/>
      <c r="AC137" s="17" t="n"/>
      <c r="AD137" s="17" t="n"/>
      <c r="AE137" s="19">
        <f>IF($E137&lt;&gt;"Production","",IFERROR($AD137/$L137,""))</f>
        <v/>
      </c>
      <c r="AF137" s="17" t="n"/>
      <c r="AG137" s="17" t="n"/>
      <c r="AH137" s="16" t="n"/>
      <c r="AI137" s="17" t="n"/>
      <c r="AJ137" s="17" t="n"/>
      <c r="AK137" s="17" t="n"/>
      <c r="AL137" s="17" t="n"/>
      <c r="AM137" s="17" t="n"/>
      <c r="AN137" s="17" t="n"/>
    </row>
    <row r="138" ht="15" customHeight="1">
      <c r="A138" s="13">
        <f>IF(COUNTA($B138:$K138)=0,"",ROW()-1)</f>
        <v/>
      </c>
      <c r="B138" s="14" t="inlineStr">
        <is>
          <t>WIP</t>
        </is>
      </c>
      <c r="C138" s="15" t="n">
        <v>46234</v>
      </c>
      <c r="D138" s="16" t="inlineStr">
        <is>
          <t>Integration</t>
        </is>
      </c>
      <c r="E138" s="13">
        <f>IF($B138="","",IF($B138="WIP","WIP",IFERROR(INDEX(Lists!$G$4:$G$10,MATCH($D138,Lists!$F$4:$F$10,0)),"Unmapped")))</f>
        <v/>
      </c>
      <c r="F138" s="16" t="n"/>
      <c r="G138" s="16" t="inlineStr">
        <is>
          <t>Aware Super</t>
        </is>
      </c>
      <c r="H138" s="14" t="n">
        <v>2604704</v>
      </c>
      <c r="I138" s="16" t="inlineStr">
        <is>
          <t>Aware Super Seminar Room Audio Upgrade [INT] Revenue</t>
        </is>
      </c>
      <c r="J138" s="14" t="n"/>
      <c r="K138" s="17" t="n">
        <v>1821.25</v>
      </c>
      <c r="L138" s="18">
        <f>IF($K138="","",IF($E138="Production",$K138-N($AD138),$K138))</f>
        <v/>
      </c>
      <c r="M138" s="18">
        <f>IF($E138="Production",IF($K138="","",$K138-(N($AF138)+N($AG138))),IF($E138="Consulting",IF($K138="","",$K138-(N($AL138)+N($AM138)+N($AN138))),""))</f>
        <v/>
      </c>
      <c r="N138" s="19">
        <f>IFERROR($M138/$K138,"")</f>
        <v/>
      </c>
      <c r="O138" s="13">
        <f>IF(COUNTA($B138:$K138)=0,"",IF($C138="","No date",IF(AND($C138&gt;=Lists!$B$3,$C138&lt;Lists!$B$4),"In FY27","Outside FY27")))</f>
        <v/>
      </c>
      <c r="P138" s="13">
        <f>IF($E138&lt;&gt;"WIP","",IF($H138="","",IF(COUNTIFS($E$2:$E$20000,"&lt;&gt;WIP",$H$2:$H$20000,$H138)&gt;0,"Job already invoiced","")))</f>
        <v/>
      </c>
      <c r="Q138" s="16" t="n"/>
      <c r="R138" s="16" t="n"/>
      <c r="S138" s="15" t="n"/>
      <c r="T138" s="14" t="n"/>
      <c r="U138" s="14" t="n"/>
      <c r="V138" s="14" t="n"/>
      <c r="W138" s="14" t="n"/>
      <c r="X138" s="14" t="n"/>
      <c r="Y138" s="14" t="n"/>
      <c r="Z138" s="14" t="n"/>
      <c r="AA138" s="14" t="n"/>
      <c r="AB138" s="14" t="n"/>
      <c r="AC138" s="17" t="n"/>
      <c r="AD138" s="17" t="n"/>
      <c r="AE138" s="19">
        <f>IF($E138&lt;&gt;"Production","",IFERROR($AD138/$L138,""))</f>
        <v/>
      </c>
      <c r="AF138" s="17" t="n"/>
      <c r="AG138" s="17" t="n"/>
      <c r="AH138" s="16" t="n"/>
      <c r="AI138" s="17" t="n"/>
      <c r="AJ138" s="17" t="n"/>
      <c r="AK138" s="17" t="n"/>
      <c r="AL138" s="17" t="n"/>
      <c r="AM138" s="17" t="n"/>
      <c r="AN138" s="17" t="n"/>
    </row>
    <row r="139" ht="15" customHeight="1">
      <c r="A139" s="13">
        <f>IF(COUNTA($B139:$K139)=0,"",ROW()-1)</f>
        <v/>
      </c>
      <c r="B139" s="14" t="inlineStr">
        <is>
          <t>WIP</t>
        </is>
      </c>
      <c r="C139" s="15" t="n">
        <v>46234</v>
      </c>
      <c r="D139" s="16" t="inlineStr">
        <is>
          <t>Integration</t>
        </is>
      </c>
      <c r="E139" s="13">
        <f>IF($B139="","",IF($B139="WIP","WIP",IFERROR(INDEX(Lists!$G$4:$G$10,MATCH($D139,Lists!$F$4:$F$10,0)),"Unmapped")))</f>
        <v/>
      </c>
      <c r="F139" s="16" t="n"/>
      <c r="G139" s="16" t="inlineStr">
        <is>
          <t>APA</t>
        </is>
      </c>
      <c r="H139" s="14" t="n">
        <v>3028</v>
      </c>
      <c r="I139" s="16" t="inlineStr">
        <is>
          <t>APA Kidman Proxyclick Term 3 Jun26-Dec26 INV-10477 (Revenue)</t>
        </is>
      </c>
      <c r="J139" s="14" t="n"/>
      <c r="K139" s="17" t="n">
        <v>996.74</v>
      </c>
      <c r="L139" s="18">
        <f>IF($K139="","",IF($E139="Production",$K139-N($AD139),$K139))</f>
        <v/>
      </c>
      <c r="M139" s="18">
        <f>IF($E139="Production",IF($K139="","",$K139-(N($AF139)+N($AG139))),IF($E139="Consulting",IF($K139="","",$K139-(N($AL139)+N($AM139)+N($AN139))),""))</f>
        <v/>
      </c>
      <c r="N139" s="19">
        <f>IFERROR($M139/$K139,"")</f>
        <v/>
      </c>
      <c r="O139" s="13">
        <f>IF(COUNTA($B139:$K139)=0,"",IF($C139="","No date",IF(AND($C139&gt;=Lists!$B$3,$C139&lt;Lists!$B$4),"In FY27","Outside FY27")))</f>
        <v/>
      </c>
      <c r="P139" s="13">
        <f>IF($E139&lt;&gt;"WIP","",IF($H139="","",IF(COUNTIFS($E$2:$E$20000,"&lt;&gt;WIP",$H$2:$H$20000,$H139)&gt;0,"Job already invoiced","")))</f>
        <v/>
      </c>
      <c r="Q139" s="16" t="n"/>
      <c r="R139" s="16" t="n"/>
      <c r="S139" s="15" t="n"/>
      <c r="T139" s="14" t="n"/>
      <c r="U139" s="14" t="n"/>
      <c r="V139" s="14" t="n"/>
      <c r="W139" s="14" t="n"/>
      <c r="X139" s="14" t="n"/>
      <c r="Y139" s="14" t="n"/>
      <c r="Z139" s="14" t="n"/>
      <c r="AA139" s="14" t="n"/>
      <c r="AB139" s="14" t="n"/>
      <c r="AC139" s="17" t="n"/>
      <c r="AD139" s="17" t="n"/>
      <c r="AE139" s="19">
        <f>IF($E139&lt;&gt;"Production","",IFERROR($AD139/$L139,""))</f>
        <v/>
      </c>
      <c r="AF139" s="17" t="n"/>
      <c r="AG139" s="17" t="n"/>
      <c r="AH139" s="16" t="n"/>
      <c r="AI139" s="17" t="n"/>
      <c r="AJ139" s="17" t="n"/>
      <c r="AK139" s="17" t="n"/>
      <c r="AL139" s="17" t="n"/>
      <c r="AM139" s="17" t="n"/>
      <c r="AN139" s="17" t="n"/>
    </row>
    <row r="140" ht="15" customHeight="1">
      <c r="A140" s="13">
        <f>IF(COUNTA($B140:$K140)=0,"",ROW()-1)</f>
        <v/>
      </c>
      <c r="B140" s="14" t="inlineStr">
        <is>
          <t>WIP</t>
        </is>
      </c>
      <c r="C140" s="15" t="n">
        <v>46234</v>
      </c>
      <c r="D140" s="16" t="inlineStr">
        <is>
          <t>Integration</t>
        </is>
      </c>
      <c r="E140" s="13">
        <f>IF($B140="","",IF($B140="WIP","WIP",IFERROR(INDEX(Lists!$G$4:$G$10,MATCH($D140,Lists!$F$4:$F$10,0)),"Unmapped")))</f>
        <v/>
      </c>
      <c r="F140" s="16" t="n"/>
      <c r="G140" s="16" t="inlineStr">
        <is>
          <t>APA</t>
        </is>
      </c>
      <c r="H140" s="14" t="n">
        <v>2855</v>
      </c>
      <c r="I140" s="16" t="inlineStr">
        <is>
          <t>APA Melbourne Proxyclick Jul26-Jun27 INV-10501(Revenue)</t>
        </is>
      </c>
      <c r="J140" s="14" t="n"/>
      <c r="K140" s="17" t="n">
        <v>1357.33</v>
      </c>
      <c r="L140" s="18">
        <f>IF($K140="","",IF($E140="Production",$K140-N($AD140),$K140))</f>
        <v/>
      </c>
      <c r="M140" s="18">
        <f>IF($E140="Production",IF($K140="","",$K140-(N($AF140)+N($AG140))),IF($E140="Consulting",IF($K140="","",$K140-(N($AL140)+N($AM140)+N($AN140))),""))</f>
        <v/>
      </c>
      <c r="N140" s="19">
        <f>IFERROR($M140/$K140,"")</f>
        <v/>
      </c>
      <c r="O140" s="13">
        <f>IF(COUNTA($B140:$K140)=0,"",IF($C140="","No date",IF(AND($C140&gt;=Lists!$B$3,$C140&lt;Lists!$B$4),"In FY27","Outside FY27")))</f>
        <v/>
      </c>
      <c r="P140" s="13">
        <f>IF($E140&lt;&gt;"WIP","",IF($H140="","",IF(COUNTIFS($E$2:$E$20000,"&lt;&gt;WIP",$H$2:$H$20000,$H140)&gt;0,"Job already invoiced","")))</f>
        <v/>
      </c>
      <c r="Q140" s="16" t="n"/>
      <c r="R140" s="16" t="n"/>
      <c r="S140" s="15" t="n"/>
      <c r="T140" s="14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  <c r="AC140" s="17" t="n"/>
      <c r="AD140" s="17" t="n"/>
      <c r="AE140" s="19">
        <f>IF($E140&lt;&gt;"Production","",IFERROR($AD140/$L140,""))</f>
        <v/>
      </c>
      <c r="AF140" s="17" t="n"/>
      <c r="AG140" s="17" t="n"/>
      <c r="AH140" s="16" t="n"/>
      <c r="AI140" s="17" t="n"/>
      <c r="AJ140" s="17" t="n"/>
      <c r="AK140" s="17" t="n"/>
      <c r="AL140" s="17" t="n"/>
      <c r="AM140" s="17" t="n"/>
      <c r="AN140" s="17" t="n"/>
    </row>
    <row r="141" ht="15" customHeight="1">
      <c r="A141" s="13">
        <f>IF(COUNTA($B141:$K141)=0,"",ROW()-1)</f>
        <v/>
      </c>
      <c r="B141" s="14" t="inlineStr">
        <is>
          <t>WIP</t>
        </is>
      </c>
      <c r="C141" s="15" t="n">
        <v>46234</v>
      </c>
      <c r="D141" s="16" t="inlineStr">
        <is>
          <t>Integration</t>
        </is>
      </c>
      <c r="E141" s="13">
        <f>IF($B141="","",IF($B141="WIP","WIP",IFERROR(INDEX(Lists!$G$4:$G$10,MATCH($D141,Lists!$F$4:$F$10,0)),"Unmapped")))</f>
        <v/>
      </c>
      <c r="F141" s="16" t="n"/>
      <c r="G141" s="16" t="inlineStr">
        <is>
          <t>APA</t>
        </is>
      </c>
      <c r="H141" s="14" t="n">
        <v>2857</v>
      </c>
      <c r="I141" s="16" t="inlineStr">
        <is>
          <t>APA Sydney Proxyclick Jul26-Jun27 INV-10502(Revenue)</t>
        </is>
      </c>
      <c r="J141" s="14" t="n"/>
      <c r="K141" s="17" t="n">
        <v>1357.33</v>
      </c>
      <c r="L141" s="18">
        <f>IF($K141="","",IF($E141="Production",$K141-N($AD141),$K141))</f>
        <v/>
      </c>
      <c r="M141" s="18">
        <f>IF($E141="Production",IF($K141="","",$K141-(N($AF141)+N($AG141))),IF($E141="Consulting",IF($K141="","",$K141-(N($AL141)+N($AM141)+N($AN141))),""))</f>
        <v/>
      </c>
      <c r="N141" s="19">
        <f>IFERROR($M141/$K141,"")</f>
        <v/>
      </c>
      <c r="O141" s="13">
        <f>IF(COUNTA($B141:$K141)=0,"",IF($C141="","No date",IF(AND($C141&gt;=Lists!$B$3,$C141&lt;Lists!$B$4),"In FY27","Outside FY27")))</f>
        <v/>
      </c>
      <c r="P141" s="13">
        <f>IF($E141&lt;&gt;"WIP","",IF($H141="","",IF(COUNTIFS($E$2:$E$20000,"&lt;&gt;WIP",$H$2:$H$20000,$H141)&gt;0,"Job already invoiced","")))</f>
        <v/>
      </c>
      <c r="Q141" s="16" t="n"/>
      <c r="R141" s="16" t="n"/>
      <c r="S141" s="15" t="n"/>
      <c r="T141" s="14" t="n"/>
      <c r="U141" s="14" t="n"/>
      <c r="V141" s="14" t="n"/>
      <c r="W141" s="14" t="n"/>
      <c r="X141" s="14" t="n"/>
      <c r="Y141" s="14" t="n"/>
      <c r="Z141" s="14" t="n"/>
      <c r="AA141" s="14" t="n"/>
      <c r="AB141" s="14" t="n"/>
      <c r="AC141" s="17" t="n"/>
      <c r="AD141" s="17" t="n"/>
      <c r="AE141" s="19">
        <f>IF($E141&lt;&gt;"Production","",IFERROR($AD141/$L141,""))</f>
        <v/>
      </c>
      <c r="AF141" s="17" t="n"/>
      <c r="AG141" s="17" t="n"/>
      <c r="AH141" s="16" t="n"/>
      <c r="AI141" s="17" t="n"/>
      <c r="AJ141" s="17" t="n"/>
      <c r="AK141" s="17" t="n"/>
      <c r="AL141" s="17" t="n"/>
      <c r="AM141" s="17" t="n"/>
      <c r="AN141" s="17" t="n"/>
    </row>
    <row r="142" ht="15" customHeight="1">
      <c r="A142" s="13">
        <f>IF(COUNTA($B142:$K142)=0,"",ROW()-1)</f>
        <v/>
      </c>
      <c r="B142" s="14" t="inlineStr">
        <is>
          <t>WIP</t>
        </is>
      </c>
      <c r="C142" s="15" t="n">
        <v>46234</v>
      </c>
      <c r="D142" s="16" t="inlineStr">
        <is>
          <t>Integration</t>
        </is>
      </c>
      <c r="E142" s="13">
        <f>IF($B142="","",IF($B142="WIP","WIP",IFERROR(INDEX(Lists!$G$4:$G$10,MATCH($D142,Lists!$F$4:$F$10,0)),"Unmapped")))</f>
        <v/>
      </c>
      <c r="F142" s="16" t="n"/>
      <c r="G142" s="16" t="inlineStr">
        <is>
          <t>APA</t>
        </is>
      </c>
      <c r="H142" s="14" t="n">
        <v>2848</v>
      </c>
      <c r="I142" s="16" t="inlineStr">
        <is>
          <t>APA Adelaide Proxyclick INV-10514 Renewal Jul26-Jun27 (Revenue)</t>
        </is>
      </c>
      <c r="J142" s="14" t="n"/>
      <c r="K142" s="17" t="n">
        <v>618.08</v>
      </c>
      <c r="L142" s="18">
        <f>IF($K142="","",IF($E142="Production",$K142-N($AD142),$K142))</f>
        <v/>
      </c>
      <c r="M142" s="18">
        <f>IF($E142="Production",IF($K142="","",$K142-(N($AF142)+N($AG142))),IF($E142="Consulting",IF($K142="","",$K142-(N($AL142)+N($AM142)+N($AN142))),""))</f>
        <v/>
      </c>
      <c r="N142" s="19">
        <f>IFERROR($M142/$K142,"")</f>
        <v/>
      </c>
      <c r="O142" s="13">
        <f>IF(COUNTA($B142:$K142)=0,"",IF($C142="","No date",IF(AND($C142&gt;=Lists!$B$3,$C142&lt;Lists!$B$4),"In FY27","Outside FY27")))</f>
        <v/>
      </c>
      <c r="P142" s="13">
        <f>IF($E142&lt;&gt;"WIP","",IF($H142="","",IF(COUNTIFS($E$2:$E$20000,"&lt;&gt;WIP",$H$2:$H$20000,$H142)&gt;0,"Job already invoiced","")))</f>
        <v/>
      </c>
      <c r="Q142" s="16" t="n"/>
      <c r="R142" s="16" t="n"/>
      <c r="S142" s="15" t="n"/>
      <c r="T142" s="14" t="n"/>
      <c r="U142" s="14" t="n"/>
      <c r="V142" s="14" t="n"/>
      <c r="W142" s="14" t="n"/>
      <c r="X142" s="14" t="n"/>
      <c r="Y142" s="14" t="n"/>
      <c r="Z142" s="14" t="n"/>
      <c r="AA142" s="14" t="n"/>
      <c r="AB142" s="14" t="n"/>
      <c r="AC142" s="17" t="n"/>
      <c r="AD142" s="17" t="n"/>
      <c r="AE142" s="19">
        <f>IF($E142&lt;&gt;"Production","",IFERROR($AD142/$L142,""))</f>
        <v/>
      </c>
      <c r="AF142" s="17" t="n"/>
      <c r="AG142" s="17" t="n"/>
      <c r="AH142" s="16" t="n"/>
      <c r="AI142" s="17" t="n"/>
      <c r="AJ142" s="17" t="n"/>
      <c r="AK142" s="17" t="n"/>
      <c r="AL142" s="17" t="n"/>
      <c r="AM142" s="17" t="n"/>
      <c r="AN142" s="17" t="n"/>
    </row>
    <row r="143" ht="15" customHeight="1">
      <c r="A143" s="13">
        <f>IF(COUNTA($B143:$K143)=0,"",ROW()-1)</f>
        <v/>
      </c>
      <c r="B143" s="14" t="inlineStr">
        <is>
          <t>WIP</t>
        </is>
      </c>
      <c r="C143" s="15" t="n">
        <v>46234</v>
      </c>
      <c r="D143" s="16" t="inlineStr">
        <is>
          <t>Integration</t>
        </is>
      </c>
      <c r="E143" s="13">
        <f>IF($B143="","",IF($B143="WIP","WIP",IFERROR(INDEX(Lists!$G$4:$G$10,MATCH($D143,Lists!$F$4:$F$10,0)),"Unmapped")))</f>
        <v/>
      </c>
      <c r="F143" s="16" t="n"/>
      <c r="G143" s="16" t="inlineStr">
        <is>
          <t>APA</t>
        </is>
      </c>
      <c r="H143" s="14" t="n">
        <v>2606101</v>
      </c>
      <c r="I143" s="16" t="inlineStr">
        <is>
          <t>APA | Young Eptura Proxyclick Licence Renewal Mar27-Feb28 INV-10548 (Revenue)</t>
        </is>
      </c>
      <c r="J143" s="14" t="n"/>
      <c r="K143" s="17" t="n">
        <v>-4205</v>
      </c>
      <c r="L143" s="18">
        <f>IF($K143="","",IF($E143="Production",$K143-N($AD143),$K143))</f>
        <v/>
      </c>
      <c r="M143" s="18">
        <f>IF($E143="Production",IF($K143="","",$K143-(N($AF143)+N($AG143))),IF($E143="Consulting",IF($K143="","",$K143-(N($AL143)+N($AM143)+N($AN143))),""))</f>
        <v/>
      </c>
      <c r="N143" s="19">
        <f>IFERROR($M143/$K143,"")</f>
        <v/>
      </c>
      <c r="O143" s="13">
        <f>IF(COUNTA($B143:$K143)=0,"",IF($C143="","No date",IF(AND($C143&gt;=Lists!$B$3,$C143&lt;Lists!$B$4),"In FY27","Outside FY27")))</f>
        <v/>
      </c>
      <c r="P143" s="13">
        <f>IF($E143&lt;&gt;"WIP","",IF($H143="","",IF(COUNTIFS($E$2:$E$20000,"&lt;&gt;WIP",$H$2:$H$20000,$H143)&gt;0,"Job already invoiced","")))</f>
        <v/>
      </c>
      <c r="Q143" s="16" t="n"/>
      <c r="R143" s="16" t="n"/>
      <c r="S143" s="15" t="n"/>
      <c r="T143" s="14" t="n"/>
      <c r="U143" s="14" t="n"/>
      <c r="V143" s="14" t="n"/>
      <c r="W143" s="14" t="n"/>
      <c r="X143" s="14" t="n"/>
      <c r="Y143" s="14" t="n"/>
      <c r="Z143" s="14" t="n"/>
      <c r="AA143" s="14" t="n"/>
      <c r="AB143" s="14" t="n"/>
      <c r="AC143" s="17" t="n"/>
      <c r="AD143" s="17" t="n"/>
      <c r="AE143" s="19">
        <f>IF($E143&lt;&gt;"Production","",IFERROR($AD143/$L143,""))</f>
        <v/>
      </c>
      <c r="AF143" s="17" t="n"/>
      <c r="AG143" s="17" t="n"/>
      <c r="AH143" s="16" t="n"/>
      <c r="AI143" s="17" t="n"/>
      <c r="AJ143" s="17" t="n"/>
      <c r="AK143" s="17" t="n"/>
      <c r="AL143" s="17" t="n"/>
      <c r="AM143" s="17" t="n"/>
      <c r="AN143" s="17" t="n"/>
    </row>
    <row r="144" ht="15" customHeight="1">
      <c r="A144" s="13">
        <f>IF(COUNTA($B144:$K144)=0,"",ROW()-1)</f>
        <v/>
      </c>
      <c r="B144" s="14" t="inlineStr">
        <is>
          <t>WIP</t>
        </is>
      </c>
      <c r="C144" s="15" t="n">
        <v>46234</v>
      </c>
      <c r="D144" s="16" t="inlineStr">
        <is>
          <t>Production</t>
        </is>
      </c>
      <c r="E144" s="13">
        <f>IF($B144="","",IF($B144="WIP","WIP",IFERROR(INDEX(Lists!$G$4:$G$10,MATCH($D144,Lists!$F$4:$F$10,0)),"Unmapped")))</f>
        <v/>
      </c>
      <c r="F144" s="16" t="n"/>
      <c r="G144" s="16" t="inlineStr">
        <is>
          <t>AGL</t>
        </is>
      </c>
      <c r="H144" s="14" t="inlineStr">
        <is>
          <t xml:space="preserve">2605402 </t>
        </is>
      </c>
      <c r="I144" s="16" t="inlineStr">
        <is>
          <t>AGL FYR - Employee Town Hall [PRD] pre-prod work</t>
        </is>
      </c>
      <c r="J144" s="14" t="n"/>
      <c r="K144" s="17" t="n">
        <v>1322.5</v>
      </c>
      <c r="L144" s="18">
        <f>IF($K144="","",IF($E144="Production",$K144-N($AD144),$K144))</f>
        <v/>
      </c>
      <c r="M144" s="18">
        <f>IF($E144="Production",IF($K144="","",$K144-(N($AF144)+N($AG144))),IF($E144="Consulting",IF($K144="","",$K144-(N($AL144)+N($AM144)+N($AN144))),""))</f>
        <v/>
      </c>
      <c r="N144" s="19">
        <f>IFERROR($M144/$K144,"")</f>
        <v/>
      </c>
      <c r="O144" s="13">
        <f>IF(COUNTA($B144:$K144)=0,"",IF($C144="","No date",IF(AND($C144&gt;=Lists!$B$3,$C144&lt;Lists!$B$4),"In FY27","Outside FY27")))</f>
        <v/>
      </c>
      <c r="P144" s="13">
        <f>IF($E144&lt;&gt;"WIP","",IF($H144="","",IF(COUNTIFS($E$2:$E$20000,"&lt;&gt;WIP",$H$2:$H$20000,$H144)&gt;0,"Job already invoiced","")))</f>
        <v/>
      </c>
      <c r="Q144" s="16" t="n"/>
      <c r="R144" s="16" t="n"/>
      <c r="S144" s="15" t="n"/>
      <c r="T144" s="14" t="n"/>
      <c r="U144" s="14" t="n"/>
      <c r="V144" s="14" t="n"/>
      <c r="W144" s="14" t="n"/>
      <c r="X144" s="14" t="n"/>
      <c r="Y144" s="14" t="n"/>
      <c r="Z144" s="14" t="n"/>
      <c r="AA144" s="14" t="n"/>
      <c r="AB144" s="14" t="n"/>
      <c r="AC144" s="17" t="n"/>
      <c r="AD144" s="17" t="n"/>
      <c r="AE144" s="19">
        <f>IF($E144&lt;&gt;"Production","",IFERROR($AD144/$L144,""))</f>
        <v/>
      </c>
      <c r="AF144" s="17" t="n"/>
      <c r="AG144" s="17" t="n"/>
      <c r="AH144" s="16" t="n"/>
      <c r="AI144" s="17" t="n"/>
      <c r="AJ144" s="17" t="n"/>
      <c r="AK144" s="17" t="n"/>
      <c r="AL144" s="17" t="n"/>
      <c r="AM144" s="17" t="n"/>
      <c r="AN144" s="17" t="n"/>
    </row>
    <row r="145" ht="15" customHeight="1">
      <c r="A145" s="13">
        <f>IF(COUNTA($B145:$K145)=0,"",ROW()-1)</f>
        <v/>
      </c>
      <c r="B145" s="14" t="inlineStr">
        <is>
          <t>WIP</t>
        </is>
      </c>
      <c r="C145" s="15" t="n">
        <v>46234</v>
      </c>
      <c r="D145" s="16" t="inlineStr">
        <is>
          <t>Production</t>
        </is>
      </c>
      <c r="E145" s="13">
        <f>IF($B145="","",IF($B145="WIP","WIP",IFERROR(INDEX(Lists!$G$4:$G$10,MATCH($D145,Lists!$F$4:$F$10,0)),"Unmapped")))</f>
        <v/>
      </c>
      <c r="F145" s="16" t="n"/>
      <c r="G145" s="16" t="inlineStr">
        <is>
          <t>CBA</t>
        </is>
      </c>
      <c r="H145" s="14" t="inlineStr">
        <is>
          <t xml:space="preserve">26061105 </t>
        </is>
      </c>
      <c r="I145" s="16" t="inlineStr">
        <is>
          <t>CBA - FYR 2026 - 12.8.26 [PRD] pre-prod work</t>
        </is>
      </c>
      <c r="J145" s="14" t="n"/>
      <c r="K145" s="17" t="n">
        <v>417.5</v>
      </c>
      <c r="L145" s="18">
        <f>IF($K145="","",IF($E145="Production",$K145-N($AD145),$K145))</f>
        <v/>
      </c>
      <c r="M145" s="18">
        <f>IF($E145="Production",IF($K145="","",$K145-(N($AF145)+N($AG145))),IF($E145="Consulting",IF($K145="","",$K145-(N($AL145)+N($AM145)+N($AN145))),""))</f>
        <v/>
      </c>
      <c r="N145" s="19">
        <f>IFERROR($M145/$K145,"")</f>
        <v/>
      </c>
      <c r="O145" s="13">
        <f>IF(COUNTA($B145:$K145)=0,"",IF($C145="","No date",IF(AND($C145&gt;=Lists!$B$3,$C145&lt;Lists!$B$4),"In FY27","Outside FY27")))</f>
        <v/>
      </c>
      <c r="P145" s="13">
        <f>IF($E145&lt;&gt;"WIP","",IF($H145="","",IF(COUNTIFS($E$2:$E$20000,"&lt;&gt;WIP",$H$2:$H$20000,$H145)&gt;0,"Job already invoiced","")))</f>
        <v/>
      </c>
      <c r="Q145" s="16" t="n"/>
      <c r="R145" s="16" t="n"/>
      <c r="S145" s="15" t="n"/>
      <c r="T145" s="14" t="n"/>
      <c r="U145" s="14" t="n"/>
      <c r="V145" s="14" t="n"/>
      <c r="W145" s="14" t="n"/>
      <c r="X145" s="14" t="n"/>
      <c r="Y145" s="14" t="n"/>
      <c r="Z145" s="14" t="n"/>
      <c r="AA145" s="14" t="n"/>
      <c r="AB145" s="14" t="n"/>
      <c r="AC145" s="17" t="n"/>
      <c r="AD145" s="17" t="n"/>
      <c r="AE145" s="19">
        <f>IF($E145&lt;&gt;"Production","",IFERROR($AD145/$L145,""))</f>
        <v/>
      </c>
      <c r="AF145" s="17" t="n"/>
      <c r="AG145" s="17" t="n"/>
      <c r="AH145" s="16" t="n"/>
      <c r="AI145" s="17" t="n"/>
      <c r="AJ145" s="17" t="n"/>
      <c r="AK145" s="17" t="n"/>
      <c r="AL145" s="17" t="n"/>
      <c r="AM145" s="17" t="n"/>
      <c r="AN145" s="17" t="n"/>
    </row>
    <row r="146" ht="15" customHeight="1">
      <c r="A146" s="13">
        <f>IF(COUNTA($B146:$K146)=0,"",ROW()-1)</f>
        <v/>
      </c>
      <c r="B146" s="14" t="inlineStr">
        <is>
          <t>WIP</t>
        </is>
      </c>
      <c r="C146" s="15" t="n">
        <v>46234</v>
      </c>
      <c r="D146" s="16" t="inlineStr">
        <is>
          <t>Production</t>
        </is>
      </c>
      <c r="E146" s="13">
        <f>IF($B146="","",IF($B146="WIP","WIP",IFERROR(INDEX(Lists!$G$4:$G$10,MATCH($D146,Lists!$F$4:$F$10,0)),"Unmapped")))</f>
        <v/>
      </c>
      <c r="F146" s="16" t="n"/>
      <c r="G146" s="16" t="inlineStr">
        <is>
          <t>Virgin</t>
        </is>
      </c>
      <c r="H146" s="14" t="inlineStr">
        <is>
          <t xml:space="preserve">2606903 </t>
        </is>
      </c>
      <c r="I146" s="16" t="inlineStr">
        <is>
          <t>Virgin FY26 Results [PRD] pre-prod work</t>
        </is>
      </c>
      <c r="J146" s="14" t="n"/>
      <c r="K146" s="17" t="n">
        <v>57.5</v>
      </c>
      <c r="L146" s="18">
        <f>IF($K146="","",IF($E146="Production",$K146-N($AD146),$K146))</f>
        <v/>
      </c>
      <c r="M146" s="18">
        <f>IF($E146="Production",IF($K146="","",$K146-(N($AF146)+N($AG146))),IF($E146="Consulting",IF($K146="","",$K146-(N($AL146)+N($AM146)+N($AN146))),""))</f>
        <v/>
      </c>
      <c r="N146" s="19">
        <f>IFERROR($M146/$K146,"")</f>
        <v/>
      </c>
      <c r="O146" s="13">
        <f>IF(COUNTA($B146:$K146)=0,"",IF($C146="","No date",IF(AND($C146&gt;=Lists!$B$3,$C146&lt;Lists!$B$4),"In FY27","Outside FY27")))</f>
        <v/>
      </c>
      <c r="P146" s="13">
        <f>IF($E146&lt;&gt;"WIP","",IF($H146="","",IF(COUNTIFS($E$2:$E$20000,"&lt;&gt;WIP",$H$2:$H$20000,$H146)&gt;0,"Job already invoiced","")))</f>
        <v/>
      </c>
      <c r="Q146" s="16" t="n"/>
      <c r="R146" s="16" t="n"/>
      <c r="S146" s="15" t="n"/>
      <c r="T146" s="14" t="n"/>
      <c r="U146" s="14" t="n"/>
      <c r="V146" s="14" t="n"/>
      <c r="W146" s="14" t="n"/>
      <c r="X146" s="14" t="n"/>
      <c r="Y146" s="14" t="n"/>
      <c r="Z146" s="14" t="n"/>
      <c r="AA146" s="14" t="n"/>
      <c r="AB146" s="14" t="n"/>
      <c r="AC146" s="17" t="n"/>
      <c r="AD146" s="17" t="n"/>
      <c r="AE146" s="19">
        <f>IF($E146&lt;&gt;"Production","",IFERROR($AD146/$L146,""))</f>
        <v/>
      </c>
      <c r="AF146" s="17" t="n"/>
      <c r="AG146" s="17" t="n"/>
      <c r="AH146" s="16" t="n"/>
      <c r="AI146" s="17" t="n"/>
      <c r="AJ146" s="17" t="n"/>
      <c r="AK146" s="17" t="n"/>
      <c r="AL146" s="17" t="n"/>
      <c r="AM146" s="17" t="n"/>
      <c r="AN146" s="17" t="n"/>
    </row>
    <row r="147" ht="15" customHeight="1">
      <c r="A147" s="13">
        <f>IF(COUNTA($B147:$K147)=0,"",ROW()-1)</f>
        <v/>
      </c>
      <c r="B147" s="14" t="inlineStr">
        <is>
          <t>WIP</t>
        </is>
      </c>
      <c r="C147" s="15" t="n">
        <v>46234</v>
      </c>
      <c r="D147" s="16" t="inlineStr">
        <is>
          <t>Production</t>
        </is>
      </c>
      <c r="E147" s="13">
        <f>IF($B147="","",IF($B147="WIP","WIP",IFERROR(INDEX(Lists!$G$4:$G$10,MATCH($D147,Lists!$F$4:$F$10,0)),"Unmapped")))</f>
        <v/>
      </c>
      <c r="F147" s="16" t="n"/>
      <c r="G147" s="16" t="inlineStr">
        <is>
          <t>Ventia</t>
        </is>
      </c>
      <c r="H147" s="14" t="inlineStr">
        <is>
          <t xml:space="preserve">26061109 </t>
        </is>
      </c>
      <c r="I147" s="16" t="inlineStr">
        <is>
          <t>Ventia - FYR26 - 24.8.26 [PRD] pre-prod work</t>
        </is>
      </c>
      <c r="J147" s="14" t="n"/>
      <c r="K147" s="17" t="n">
        <v>862.5</v>
      </c>
      <c r="L147" s="18">
        <f>IF($K147="","",IF($E147="Production",$K147-N($AD147),$K147))</f>
        <v/>
      </c>
      <c r="M147" s="18">
        <f>IF($E147="Production",IF($K147="","",$K147-(N($AF147)+N($AG147))),IF($E147="Consulting",IF($K147="","",$K147-(N($AL147)+N($AM147)+N($AN147))),""))</f>
        <v/>
      </c>
      <c r="N147" s="19">
        <f>IFERROR($M147/$K147,"")</f>
        <v/>
      </c>
      <c r="O147" s="13">
        <f>IF(COUNTA($B147:$K147)=0,"",IF($C147="","No date",IF(AND($C147&gt;=Lists!$B$3,$C147&lt;Lists!$B$4),"In FY27","Outside FY27")))</f>
        <v/>
      </c>
      <c r="P147" s="13">
        <f>IF($E147&lt;&gt;"WIP","",IF($H147="","",IF(COUNTIFS($E$2:$E$20000,"&lt;&gt;WIP",$H$2:$H$20000,$H147)&gt;0,"Job already invoiced","")))</f>
        <v/>
      </c>
      <c r="Q147" s="16" t="n"/>
      <c r="R147" s="16" t="n"/>
      <c r="S147" s="15" t="n"/>
      <c r="T147" s="14" t="n"/>
      <c r="U147" s="14" t="n"/>
      <c r="V147" s="14" t="n"/>
      <c r="W147" s="14" t="n"/>
      <c r="X147" s="14" t="n"/>
      <c r="Y147" s="14" t="n"/>
      <c r="Z147" s="14" t="n"/>
      <c r="AA147" s="14" t="n"/>
      <c r="AB147" s="14" t="n"/>
      <c r="AC147" s="17" t="n"/>
      <c r="AD147" s="17" t="n"/>
      <c r="AE147" s="19">
        <f>IF($E147&lt;&gt;"Production","",IFERROR($AD147/$L147,""))</f>
        <v/>
      </c>
      <c r="AF147" s="17" t="n"/>
      <c r="AG147" s="17" t="n"/>
      <c r="AH147" s="16" t="n"/>
      <c r="AI147" s="17" t="n"/>
      <c r="AJ147" s="17" t="n"/>
      <c r="AK147" s="17" t="n"/>
      <c r="AL147" s="17" t="n"/>
      <c r="AM147" s="17" t="n"/>
      <c r="AN147" s="17" t="n"/>
    </row>
    <row r="148" ht="15" customHeight="1">
      <c r="A148" s="13">
        <f>IF(COUNTA($B148:$K148)=0,"",ROW()-1)</f>
        <v/>
      </c>
      <c r="B148" s="14" t="inlineStr">
        <is>
          <t>WIP</t>
        </is>
      </c>
      <c r="C148" s="15" t="n">
        <v>46234</v>
      </c>
      <c r="D148" s="16" t="inlineStr">
        <is>
          <t>Production</t>
        </is>
      </c>
      <c r="E148" s="13">
        <f>IF($B148="","",IF($B148="WIP","WIP",IFERROR(INDEX(Lists!$G$4:$G$10,MATCH($D148,Lists!$F$4:$F$10,0)),"Unmapped")))</f>
        <v/>
      </c>
      <c r="F148" s="16" t="n"/>
      <c r="G148" s="16" t="inlineStr">
        <is>
          <t>Downer</t>
        </is>
      </c>
      <c r="H148" s="14" t="inlineStr">
        <is>
          <t xml:space="preserve">26061107 </t>
        </is>
      </c>
      <c r="I148" s="16" t="inlineStr">
        <is>
          <t>Downer - FYR 2026 - 19.8.26 [PRD] pre-prod work</t>
        </is>
      </c>
      <c r="J148" s="14" t="n"/>
      <c r="K148" s="17" t="n">
        <v>115</v>
      </c>
      <c r="L148" s="18">
        <f>IF($K148="","",IF($E148="Production",$K148-N($AD148),$K148))</f>
        <v/>
      </c>
      <c r="M148" s="18">
        <f>IF($E148="Production",IF($K148="","",$K148-(N($AF148)+N($AG148))),IF($E148="Consulting",IF($K148="","",$K148-(N($AL148)+N($AM148)+N($AN148))),""))</f>
        <v/>
      </c>
      <c r="N148" s="19">
        <f>IFERROR($M148/$K148,"")</f>
        <v/>
      </c>
      <c r="O148" s="13">
        <f>IF(COUNTA($B148:$K148)=0,"",IF($C148="","No date",IF(AND($C148&gt;=Lists!$B$3,$C148&lt;Lists!$B$4),"In FY27","Outside FY27")))</f>
        <v/>
      </c>
      <c r="P148" s="13">
        <f>IF($E148&lt;&gt;"WIP","",IF($H148="","",IF(COUNTIFS($E$2:$E$20000,"&lt;&gt;WIP",$H$2:$H$20000,$H148)&gt;0,"Job already invoiced","")))</f>
        <v/>
      </c>
      <c r="Q148" s="16" t="n"/>
      <c r="R148" s="16" t="n"/>
      <c r="S148" s="15" t="n"/>
      <c r="T148" s="14" t="n"/>
      <c r="U148" s="14" t="n"/>
      <c r="V148" s="14" t="n"/>
      <c r="W148" s="14" t="n"/>
      <c r="X148" s="14" t="n"/>
      <c r="Y148" s="14" t="n"/>
      <c r="Z148" s="14" t="n"/>
      <c r="AA148" s="14" t="n"/>
      <c r="AB148" s="14" t="n"/>
      <c r="AC148" s="17" t="n"/>
      <c r="AD148" s="17" t="n"/>
      <c r="AE148" s="19">
        <f>IF($E148&lt;&gt;"Production","",IFERROR($AD148/$L148,""))</f>
        <v/>
      </c>
      <c r="AF148" s="17" t="n"/>
      <c r="AG148" s="17" t="n"/>
      <c r="AH148" s="16" t="n"/>
      <c r="AI148" s="17" t="n"/>
      <c r="AJ148" s="17" t="n"/>
      <c r="AK148" s="17" t="n"/>
      <c r="AL148" s="17" t="n"/>
      <c r="AM148" s="17" t="n"/>
      <c r="AN148" s="17" t="n"/>
    </row>
    <row r="149" ht="15" customHeight="1">
      <c r="A149" s="13">
        <f>IF(COUNTA($B149:$K149)=0,"",ROW()-1)</f>
        <v/>
      </c>
      <c r="B149" s="14" t="inlineStr">
        <is>
          <t>WIP</t>
        </is>
      </c>
      <c r="C149" s="15" t="n">
        <v>46234</v>
      </c>
      <c r="D149" s="16" t="inlineStr">
        <is>
          <t>Production</t>
        </is>
      </c>
      <c r="E149" s="13">
        <f>IF($B149="","",IF($B149="WIP","WIP",IFERROR(INDEX(Lists!$G$4:$G$10,MATCH($D149,Lists!$F$4:$F$10,0)),"Unmapped")))</f>
        <v/>
      </c>
      <c r="F149" s="16" t="n"/>
      <c r="G149" s="16" t="inlineStr">
        <is>
          <t>APA</t>
        </is>
      </c>
      <c r="H149" s="14" t="n">
        <v>26061108</v>
      </c>
      <c r="I149" s="16" t="inlineStr">
        <is>
          <t>APA FYR All Hands August 2026 Package - Conf Call (Revenue) INV-10521</t>
        </is>
      </c>
      <c r="J149" s="14" t="n"/>
      <c r="K149" s="17" t="n">
        <v>-600</v>
      </c>
      <c r="L149" s="18">
        <f>IF($K149="","",IF($E149="Production",$K149-N($AD149),$K149))</f>
        <v/>
      </c>
      <c r="M149" s="18">
        <f>IF($E149="Production",IF($K149="","",$K149-(N($AF149)+N($AG149))),IF($E149="Consulting",IF($K149="","",$K149-(N($AL149)+N($AM149)+N($AN149))),""))</f>
        <v/>
      </c>
      <c r="N149" s="19">
        <f>IFERROR($M149/$K149,"")</f>
        <v/>
      </c>
      <c r="O149" s="13">
        <f>IF(COUNTA($B149:$K149)=0,"",IF($C149="","No date",IF(AND($C149&gt;=Lists!$B$3,$C149&lt;Lists!$B$4),"In FY27","Outside FY27")))</f>
        <v/>
      </c>
      <c r="P149" s="13">
        <f>IF($E149&lt;&gt;"WIP","",IF($H149="","",IF(COUNTIFS($E$2:$E$20000,"&lt;&gt;WIP",$H$2:$H$20000,$H149)&gt;0,"Job already invoiced","")))</f>
        <v/>
      </c>
      <c r="Q149" s="16" t="n"/>
      <c r="R149" s="16" t="n"/>
      <c r="S149" s="15" t="n"/>
      <c r="T149" s="14" t="n"/>
      <c r="U149" s="14" t="n"/>
      <c r="V149" s="14" t="n"/>
      <c r="W149" s="14" t="n"/>
      <c r="X149" s="14" t="n"/>
      <c r="Y149" s="14" t="n"/>
      <c r="Z149" s="14" t="n"/>
      <c r="AA149" s="14" t="n"/>
      <c r="AB149" s="14" t="n"/>
      <c r="AC149" s="17" t="n"/>
      <c r="AD149" s="17" t="n"/>
      <c r="AE149" s="19">
        <f>IF($E149&lt;&gt;"Production","",IFERROR($AD149/$L149,""))</f>
        <v/>
      </c>
      <c r="AF149" s="17" t="n"/>
      <c r="AG149" s="17" t="n"/>
      <c r="AH149" s="16" t="n"/>
      <c r="AI149" s="17" t="n"/>
      <c r="AJ149" s="17" t="n"/>
      <c r="AK149" s="17" t="n"/>
      <c r="AL149" s="17" t="n"/>
      <c r="AM149" s="17" t="n"/>
      <c r="AN149" s="17" t="n"/>
    </row>
    <row r="150" ht="15" customHeight="1">
      <c r="A150" s="13">
        <f>IF(COUNTA($B150:$K150)=0,"",ROW()-1)</f>
        <v/>
      </c>
      <c r="B150" s="14" t="inlineStr">
        <is>
          <t>WIP</t>
        </is>
      </c>
      <c r="C150" s="15" t="n">
        <v>46234</v>
      </c>
      <c r="D150" s="16" t="inlineStr">
        <is>
          <t>Production</t>
        </is>
      </c>
      <c r="E150" s="13">
        <f>IF($B150="","",IF($B150="WIP","WIP",IFERROR(INDEX(Lists!$G$4:$G$10,MATCH($D150,Lists!$F$4:$F$10,0)),"Unmapped")))</f>
        <v/>
      </c>
      <c r="F150" s="16" t="n"/>
      <c r="G150" s="16" t="inlineStr">
        <is>
          <t>APA</t>
        </is>
      </c>
      <c r="H150" s="14" t="n">
        <v>26061108</v>
      </c>
      <c r="I150" s="16" t="inlineStr">
        <is>
          <t>APA FYR 20.7.26 [PRD]</t>
        </is>
      </c>
      <c r="J150" s="14" t="n"/>
      <c r="K150" s="17" t="n">
        <v>-237.5</v>
      </c>
      <c r="L150" s="18">
        <f>IF($K150="","",IF($E150="Production",$K150-N($AD150),$K150))</f>
        <v/>
      </c>
      <c r="M150" s="18">
        <f>IF($E150="Production",IF($K150="","",$K150-(N($AF150)+N($AG150))),IF($E150="Consulting",IF($K150="","",$K150-(N($AL150)+N($AM150)+N($AN150))),""))</f>
        <v/>
      </c>
      <c r="N150" s="19">
        <f>IFERROR($M150/$K150,"")</f>
        <v/>
      </c>
      <c r="O150" s="13">
        <f>IF(COUNTA($B150:$K150)=0,"",IF($C150="","No date",IF(AND($C150&gt;=Lists!$B$3,$C150&lt;Lists!$B$4),"In FY27","Outside FY27")))</f>
        <v/>
      </c>
      <c r="P150" s="13">
        <f>IF($E150&lt;&gt;"WIP","",IF($H150="","",IF(COUNTIFS($E$2:$E$20000,"&lt;&gt;WIP",$H$2:$H$20000,$H150)&gt;0,"Job already invoiced","")))</f>
        <v/>
      </c>
      <c r="Q150" s="16" t="n"/>
      <c r="R150" s="16" t="n"/>
      <c r="S150" s="15" t="n"/>
      <c r="T150" s="14" t="n"/>
      <c r="U150" s="14" t="n"/>
      <c r="V150" s="14" t="n"/>
      <c r="W150" s="14" t="n"/>
      <c r="X150" s="14" t="n"/>
      <c r="Y150" s="14" t="n"/>
      <c r="Z150" s="14" t="n"/>
      <c r="AA150" s="14" t="n"/>
      <c r="AB150" s="14" t="n"/>
      <c r="AC150" s="17" t="n"/>
      <c r="AD150" s="17" t="n"/>
      <c r="AE150" s="19">
        <f>IF($E150&lt;&gt;"Production","",IFERROR($AD150/$L150,""))</f>
        <v/>
      </c>
      <c r="AF150" s="17" t="n"/>
      <c r="AG150" s="17" t="n"/>
      <c r="AH150" s="16" t="n"/>
      <c r="AI150" s="17" t="n"/>
      <c r="AJ150" s="17" t="n"/>
      <c r="AK150" s="17" t="n"/>
      <c r="AL150" s="17" t="n"/>
      <c r="AM150" s="17" t="n"/>
      <c r="AN150" s="17" t="n"/>
    </row>
    <row r="151" ht="15" customHeight="1">
      <c r="A151" s="13">
        <f>IF(COUNTA($B151:$K151)=0,"",ROW()-1)</f>
        <v/>
      </c>
      <c r="B151" s="14" t="inlineStr">
        <is>
          <t>WIP</t>
        </is>
      </c>
      <c r="C151" s="15" t="n">
        <v>46234</v>
      </c>
      <c r="D151" s="16" t="inlineStr">
        <is>
          <t>Production</t>
        </is>
      </c>
      <c r="E151" s="13">
        <f>IF($B151="","",IF($B151="WIP","WIP",IFERROR(INDEX(Lists!$G$4:$G$10,MATCH($D151,Lists!$F$4:$F$10,0)),"Unmapped")))</f>
        <v/>
      </c>
      <c r="F151" s="16" t="n"/>
      <c r="G151" s="16" t="inlineStr">
        <is>
          <t>APA</t>
        </is>
      </c>
      <c r="H151" s="14" t="n">
        <v>26061108</v>
      </c>
      <c r="I151" s="16" t="inlineStr">
        <is>
          <t>APA FYR All Hands August 2026 Package - Prd Equipment Hire (Revenue) INV-10521</t>
        </is>
      </c>
      <c r="J151" s="14" t="n"/>
      <c r="K151" s="17" t="n">
        <v>-5413.6</v>
      </c>
      <c r="L151" s="18">
        <f>IF($K151="","",IF($E151="Production",$K151-N($AD151),$K151))</f>
        <v/>
      </c>
      <c r="M151" s="18">
        <f>IF($E151="Production",IF($K151="","",$K151-(N($AF151)+N($AG151))),IF($E151="Consulting",IF($K151="","",$K151-(N($AL151)+N($AM151)+N($AN151))),""))</f>
        <v/>
      </c>
      <c r="N151" s="19">
        <f>IFERROR($M151/$K151,"")</f>
        <v/>
      </c>
      <c r="O151" s="13">
        <f>IF(COUNTA($B151:$K151)=0,"",IF($C151="","No date",IF(AND($C151&gt;=Lists!$B$3,$C151&lt;Lists!$B$4),"In FY27","Outside FY27")))</f>
        <v/>
      </c>
      <c r="P151" s="13">
        <f>IF($E151&lt;&gt;"WIP","",IF($H151="","",IF(COUNTIFS($E$2:$E$20000,"&lt;&gt;WIP",$H$2:$H$20000,$H151)&gt;0,"Job already invoiced","")))</f>
        <v/>
      </c>
      <c r="Q151" s="16" t="n"/>
      <c r="R151" s="16" t="n"/>
      <c r="S151" s="15" t="n"/>
      <c r="T151" s="14" t="n"/>
      <c r="U151" s="14" t="n"/>
      <c r="V151" s="14" t="n"/>
      <c r="W151" s="14" t="n"/>
      <c r="X151" s="14" t="n"/>
      <c r="Y151" s="14" t="n"/>
      <c r="Z151" s="14" t="n"/>
      <c r="AA151" s="14" t="n"/>
      <c r="AB151" s="14" t="n"/>
      <c r="AC151" s="17" t="n"/>
      <c r="AD151" s="17" t="n"/>
      <c r="AE151" s="19">
        <f>IF($E151&lt;&gt;"Production","",IFERROR($AD151/$L151,""))</f>
        <v/>
      </c>
      <c r="AF151" s="17" t="n"/>
      <c r="AG151" s="17" t="n"/>
      <c r="AH151" s="16" t="n"/>
      <c r="AI151" s="17" t="n"/>
      <c r="AJ151" s="17" t="n"/>
      <c r="AK151" s="17" t="n"/>
      <c r="AL151" s="17" t="n"/>
      <c r="AM151" s="17" t="n"/>
      <c r="AN151" s="17" t="n"/>
    </row>
    <row r="152" ht="15" customHeight="1">
      <c r="A152" s="13">
        <f>IF(COUNTA($B152:$K152)=0,"",ROW()-1)</f>
        <v/>
      </c>
      <c r="B152" s="14" t="inlineStr">
        <is>
          <t>WIP</t>
        </is>
      </c>
      <c r="C152" s="15" t="n">
        <v>46234</v>
      </c>
      <c r="D152" s="16" t="inlineStr">
        <is>
          <t>Video</t>
        </is>
      </c>
      <c r="E152" s="13">
        <f>IF($B152="","",IF($B152="WIP","WIP",IFERROR(INDEX(Lists!$G$4:$G$10,MATCH($D152,Lists!$F$4:$F$10,0)),"Unmapped")))</f>
        <v/>
      </c>
      <c r="F152" s="16" t="n"/>
      <c r="G152" s="16" t="inlineStr">
        <is>
          <t>APA</t>
        </is>
      </c>
      <c r="H152" s="14" t="inlineStr">
        <is>
          <t xml:space="preserve">26061108V </t>
        </is>
      </c>
      <c r="I152" s="16" t="inlineStr">
        <is>
          <t>APA FYR All Hands August 2026 Package - Vid Equipment Hire (Revenue) INV-10521</t>
        </is>
      </c>
      <c r="J152" s="14" t="n"/>
      <c r="K152" s="17" t="n">
        <v>-592</v>
      </c>
      <c r="L152" s="18">
        <f>IF($K152="","",IF($E152="Production",$K152-N($AD152),$K152))</f>
        <v/>
      </c>
      <c r="M152" s="18">
        <f>IF($E152="Production",IF($K152="","",$K152-(N($AF152)+N($AG152))),IF($E152="Consulting",IF($K152="","",$K152-(N($AL152)+N($AM152)+N($AN152))),""))</f>
        <v/>
      </c>
      <c r="N152" s="19">
        <f>IFERROR($M152/$K152,"")</f>
        <v/>
      </c>
      <c r="O152" s="13">
        <f>IF(COUNTA($B152:$K152)=0,"",IF($C152="","No date",IF(AND($C152&gt;=Lists!$B$3,$C152&lt;Lists!$B$4),"In FY27","Outside FY27")))</f>
        <v/>
      </c>
      <c r="P152" s="13">
        <f>IF($E152&lt;&gt;"WIP","",IF($H152="","",IF(COUNTIFS($E$2:$E$20000,"&lt;&gt;WIP",$H$2:$H$20000,$H152)&gt;0,"Job already invoiced","")))</f>
        <v/>
      </c>
      <c r="Q152" s="16" t="n"/>
      <c r="R152" s="16" t="n"/>
      <c r="S152" s="15" t="n"/>
      <c r="T152" s="14" t="n"/>
      <c r="U152" s="14" t="n"/>
      <c r="V152" s="14" t="n"/>
      <c r="W152" s="14" t="n"/>
      <c r="X152" s="14" t="n"/>
      <c r="Y152" s="14" t="n"/>
      <c r="Z152" s="14" t="n"/>
      <c r="AA152" s="14" t="n"/>
      <c r="AB152" s="14" t="n"/>
      <c r="AC152" s="17" t="n"/>
      <c r="AD152" s="17" t="n"/>
      <c r="AE152" s="19">
        <f>IF($E152&lt;&gt;"Production","",IFERROR($AD152/$L152,""))</f>
        <v/>
      </c>
      <c r="AF152" s="17" t="n"/>
      <c r="AG152" s="17" t="n"/>
      <c r="AH152" s="16" t="n"/>
      <c r="AI152" s="17" t="n"/>
      <c r="AJ152" s="17" t="n"/>
      <c r="AK152" s="17" t="n"/>
      <c r="AL152" s="17" t="n"/>
      <c r="AM152" s="17" t="n"/>
      <c r="AN152" s="17" t="n"/>
    </row>
    <row r="153" ht="15" customHeight="1">
      <c r="A153" s="13">
        <f>IF(COUNTA($B153:$K153)=0,"",ROW()-1)</f>
        <v/>
      </c>
      <c r="B153" s="14" t="inlineStr">
        <is>
          <t>WIP</t>
        </is>
      </c>
      <c r="C153" s="15" t="n">
        <v>46234</v>
      </c>
      <c r="D153" s="16" t="inlineStr">
        <is>
          <t>Production</t>
        </is>
      </c>
      <c r="E153" s="13">
        <f>IF($B153="","",IF($B153="WIP","WIP",IFERROR(INDEX(Lists!$G$4:$G$10,MATCH($D153,Lists!$F$4:$F$10,0)),"Unmapped")))</f>
        <v/>
      </c>
      <c r="F153" s="16" t="n"/>
      <c r="G153" s="16" t="inlineStr">
        <is>
          <t>APA</t>
        </is>
      </c>
      <c r="H153" s="14" t="n">
        <v>26061108</v>
      </c>
      <c r="I153" s="16" t="inlineStr">
        <is>
          <t>APA FYR All Hands August 2026 Package - Prd Labour (Revenue) INV-10521</t>
        </is>
      </c>
      <c r="J153" s="14" t="n"/>
      <c r="K153" s="17" t="n">
        <v>-4520</v>
      </c>
      <c r="L153" s="18">
        <f>IF($K153="","",IF($E153="Production",$K153-N($AD153),$K153))</f>
        <v/>
      </c>
      <c r="M153" s="18">
        <f>IF($E153="Production",IF($K153="","",$K153-(N($AF153)+N($AG153))),IF($E153="Consulting",IF($K153="","",$K153-(N($AL153)+N($AM153)+N($AN153))),""))</f>
        <v/>
      </c>
      <c r="N153" s="19">
        <f>IFERROR($M153/$K153,"")</f>
        <v/>
      </c>
      <c r="O153" s="13">
        <f>IF(COUNTA($B153:$K153)=0,"",IF($C153="","No date",IF(AND($C153&gt;=Lists!$B$3,$C153&lt;Lists!$B$4),"In FY27","Outside FY27")))</f>
        <v/>
      </c>
      <c r="P153" s="13">
        <f>IF($E153&lt;&gt;"WIP","",IF($H153="","",IF(COUNTIFS($E$2:$E$20000,"&lt;&gt;WIP",$H$2:$H$20000,$H153)&gt;0,"Job already invoiced","")))</f>
        <v/>
      </c>
      <c r="Q153" s="16" t="n"/>
      <c r="R153" s="16" t="n"/>
      <c r="S153" s="15" t="n"/>
      <c r="T153" s="14" t="n"/>
      <c r="U153" s="14" t="n"/>
      <c r="V153" s="14" t="n"/>
      <c r="W153" s="14" t="n"/>
      <c r="X153" s="14" t="n"/>
      <c r="Y153" s="14" t="n"/>
      <c r="Z153" s="14" t="n"/>
      <c r="AA153" s="14" t="n"/>
      <c r="AB153" s="14" t="n"/>
      <c r="AC153" s="17" t="n"/>
      <c r="AD153" s="17" t="n"/>
      <c r="AE153" s="19">
        <f>IF($E153&lt;&gt;"Production","",IFERROR($AD153/$L153,""))</f>
        <v/>
      </c>
      <c r="AF153" s="17" t="n"/>
      <c r="AG153" s="17" t="n"/>
      <c r="AH153" s="16" t="n"/>
      <c r="AI153" s="17" t="n"/>
      <c r="AJ153" s="17" t="n"/>
      <c r="AK153" s="17" t="n"/>
      <c r="AL153" s="17" t="n"/>
      <c r="AM153" s="17" t="n"/>
      <c r="AN153" s="17" t="n"/>
    </row>
    <row r="154" ht="15" customHeight="1">
      <c r="A154" s="13">
        <f>IF(COUNTA($B154:$K154)=0,"",ROW()-1)</f>
        <v/>
      </c>
      <c r="B154" s="14" t="inlineStr">
        <is>
          <t>WIP</t>
        </is>
      </c>
      <c r="C154" s="15" t="n">
        <v>46234</v>
      </c>
      <c r="D154" s="16" t="inlineStr">
        <is>
          <t>Video</t>
        </is>
      </c>
      <c r="E154" s="13">
        <f>IF($B154="","",IF($B154="WIP","WIP",IFERROR(INDEX(Lists!$G$4:$G$10,MATCH($D154,Lists!$F$4:$F$10,0)),"Unmapped")))</f>
        <v/>
      </c>
      <c r="F154" s="16" t="n"/>
      <c r="G154" s="16" t="inlineStr">
        <is>
          <t>APA</t>
        </is>
      </c>
      <c r="H154" s="14" t="inlineStr">
        <is>
          <t xml:space="preserve">26061108V </t>
        </is>
      </c>
      <c r="I154" s="16" t="inlineStr">
        <is>
          <t>APA FYR All Hands August 2026 Package - Vid Labour (Revenue) INV-10521</t>
        </is>
      </c>
      <c r="J154" s="14" t="n"/>
      <c r="K154" s="17" t="n">
        <v>-485</v>
      </c>
      <c r="L154" s="18">
        <f>IF($K154="","",IF($E154="Production",$K154-N($AD154),$K154))</f>
        <v/>
      </c>
      <c r="M154" s="18">
        <f>IF($E154="Production",IF($K154="","",$K154-(N($AF154)+N($AG154))),IF($E154="Consulting",IF($K154="","",$K154-(N($AL154)+N($AM154)+N($AN154))),""))</f>
        <v/>
      </c>
      <c r="N154" s="19">
        <f>IFERROR($M154/$K154,"")</f>
        <v/>
      </c>
      <c r="O154" s="13">
        <f>IF(COUNTA($B154:$K154)=0,"",IF($C154="","No date",IF(AND($C154&gt;=Lists!$B$3,$C154&lt;Lists!$B$4),"In FY27","Outside FY27")))</f>
        <v/>
      </c>
      <c r="P154" s="13">
        <f>IF($E154&lt;&gt;"WIP","",IF($H154="","",IF(COUNTIFS($E$2:$E$20000,"&lt;&gt;WIP",$H$2:$H$20000,$H154)&gt;0,"Job already invoiced","")))</f>
        <v/>
      </c>
      <c r="Q154" s="16" t="n"/>
      <c r="R154" s="16" t="n"/>
      <c r="S154" s="15" t="n"/>
      <c r="T154" s="14" t="n"/>
      <c r="U154" s="14" t="n"/>
      <c r="V154" s="14" t="n"/>
      <c r="W154" s="14" t="n"/>
      <c r="X154" s="14" t="n"/>
      <c r="Y154" s="14" t="n"/>
      <c r="Z154" s="14" t="n"/>
      <c r="AA154" s="14" t="n"/>
      <c r="AB154" s="14" t="n"/>
      <c r="AC154" s="17" t="n"/>
      <c r="AD154" s="17" t="n"/>
      <c r="AE154" s="19">
        <f>IF($E154&lt;&gt;"Production","",IFERROR($AD154/$L154,""))</f>
        <v/>
      </c>
      <c r="AF154" s="17" t="n"/>
      <c r="AG154" s="17" t="n"/>
      <c r="AH154" s="16" t="n"/>
      <c r="AI154" s="17" t="n"/>
      <c r="AJ154" s="17" t="n"/>
      <c r="AK154" s="17" t="n"/>
      <c r="AL154" s="17" t="n"/>
      <c r="AM154" s="17" t="n"/>
      <c r="AN154" s="17" t="n"/>
    </row>
    <row r="155" ht="15" customHeight="1">
      <c r="A155" s="13">
        <f>IF(COUNTA($B155:$K155)=0,"",ROW()-1)</f>
        <v/>
      </c>
      <c r="B155" s="14" t="inlineStr">
        <is>
          <t>WIP</t>
        </is>
      </c>
      <c r="C155" s="15" t="n">
        <v>46234</v>
      </c>
      <c r="D155" s="16" t="inlineStr">
        <is>
          <t>Production</t>
        </is>
      </c>
      <c r="E155" s="13">
        <f>IF($B155="","",IF($B155="WIP","WIP",IFERROR(INDEX(Lists!$G$4:$G$10,MATCH($D155,Lists!$F$4:$F$10,0)),"Unmapped")))</f>
        <v/>
      </c>
      <c r="F155" s="16" t="n"/>
      <c r="G155" s="16" t="inlineStr">
        <is>
          <t>APA</t>
        </is>
      </c>
      <c r="H155" s="14" t="n">
        <v>26061108</v>
      </c>
      <c r="I155" s="16" t="inlineStr">
        <is>
          <t>APA FYR All Hands August 2026 Package - Transport (Revenue) INV-10521</t>
        </is>
      </c>
      <c r="J155" s="14" t="n"/>
      <c r="K155" s="17" t="n">
        <v>-300</v>
      </c>
      <c r="L155" s="18">
        <f>IF($K155="","",IF($E155="Production",$K155-N($AD155),$K155))</f>
        <v/>
      </c>
      <c r="M155" s="18">
        <f>IF($E155="Production",IF($K155="","",$K155-(N($AF155)+N($AG155))),IF($E155="Consulting",IF($K155="","",$K155-(N($AL155)+N($AM155)+N($AN155))),""))</f>
        <v/>
      </c>
      <c r="N155" s="19">
        <f>IFERROR($M155/$K155,"")</f>
        <v/>
      </c>
      <c r="O155" s="13">
        <f>IF(COUNTA($B155:$K155)=0,"",IF($C155="","No date",IF(AND($C155&gt;=Lists!$B$3,$C155&lt;Lists!$B$4),"In FY27","Outside FY27")))</f>
        <v/>
      </c>
      <c r="P155" s="13">
        <f>IF($E155&lt;&gt;"WIP","",IF($H155="","",IF(COUNTIFS($E$2:$E$20000,"&lt;&gt;WIP",$H$2:$H$20000,$H155)&gt;0,"Job already invoiced","")))</f>
        <v/>
      </c>
      <c r="Q155" s="16" t="n"/>
      <c r="R155" s="16" t="n"/>
      <c r="S155" s="15" t="n"/>
      <c r="T155" s="14" t="n"/>
      <c r="U155" s="14" t="n"/>
      <c r="V155" s="14" t="n"/>
      <c r="W155" s="14" t="n"/>
      <c r="X155" s="14" t="n"/>
      <c r="Y155" s="14" t="n"/>
      <c r="Z155" s="14" t="n"/>
      <c r="AA155" s="14" t="n"/>
      <c r="AB155" s="14" t="n"/>
      <c r="AC155" s="17" t="n"/>
      <c r="AD155" s="17" t="n"/>
      <c r="AE155" s="19">
        <f>IF($E155&lt;&gt;"Production","",IFERROR($AD155/$L155,""))</f>
        <v/>
      </c>
      <c r="AF155" s="17" t="n"/>
      <c r="AG155" s="17" t="n"/>
      <c r="AH155" s="16" t="n"/>
      <c r="AI155" s="17" t="n"/>
      <c r="AJ155" s="17" t="n"/>
      <c r="AK155" s="17" t="n"/>
      <c r="AL155" s="17" t="n"/>
      <c r="AM155" s="17" t="n"/>
      <c r="AN155" s="17" t="n"/>
    </row>
    <row r="156" ht="15" customHeight="1">
      <c r="A156" s="13">
        <f>IF(COUNTA($B156:$K156)=0,"",ROW()-1)</f>
        <v/>
      </c>
      <c r="B156" s="14" t="inlineStr">
        <is>
          <t>WIP</t>
        </is>
      </c>
      <c r="C156" s="15" t="n">
        <v>46234</v>
      </c>
      <c r="D156" s="16" t="inlineStr">
        <is>
          <t>Production</t>
        </is>
      </c>
      <c r="E156" s="13">
        <f>IF($B156="","",IF($B156="WIP","WIP",IFERROR(INDEX(Lists!$G$4:$G$10,MATCH($D156,Lists!$F$4:$F$10,0)),"Unmapped")))</f>
        <v/>
      </c>
      <c r="F156" s="16" t="n"/>
      <c r="G156" s="16" t="inlineStr">
        <is>
          <t>APA</t>
        </is>
      </c>
      <c r="H156" s="14" t="n">
        <v>26061108</v>
      </c>
      <c r="I156" s="16" t="inlineStr">
        <is>
          <t>APA FYR All Hands August 2026 Package - Tech  Event Mgmt (Revenue) INV-10521</t>
        </is>
      </c>
      <c r="J156" s="14" t="n"/>
      <c r="K156" s="17" t="n">
        <v>-690</v>
      </c>
      <c r="L156" s="18">
        <f>IF($K156="","",IF($E156="Production",$K156-N($AD156),$K156))</f>
        <v/>
      </c>
      <c r="M156" s="18">
        <f>IF($E156="Production",IF($K156="","",$K156-(N($AF156)+N($AG156))),IF($E156="Consulting",IF($K156="","",$K156-(N($AL156)+N($AM156)+N($AN156))),""))</f>
        <v/>
      </c>
      <c r="N156" s="19">
        <f>IFERROR($M156/$K156,"")</f>
        <v/>
      </c>
      <c r="O156" s="13">
        <f>IF(COUNTA($B156:$K156)=0,"",IF($C156="","No date",IF(AND($C156&gt;=Lists!$B$3,$C156&lt;Lists!$B$4),"In FY27","Outside FY27")))</f>
        <v/>
      </c>
      <c r="P156" s="13">
        <f>IF($E156&lt;&gt;"WIP","",IF($H156="","",IF(COUNTIFS($E$2:$E$20000,"&lt;&gt;WIP",$H$2:$H$20000,$H156)&gt;0,"Job already invoiced","")))</f>
        <v/>
      </c>
      <c r="Q156" s="16" t="n"/>
      <c r="R156" s="16" t="n"/>
      <c r="S156" s="15" t="n"/>
      <c r="T156" s="14" t="n"/>
      <c r="U156" s="14" t="n"/>
      <c r="V156" s="14" t="n"/>
      <c r="W156" s="14" t="n"/>
      <c r="X156" s="14" t="n"/>
      <c r="Y156" s="14" t="n"/>
      <c r="Z156" s="14" t="n"/>
      <c r="AA156" s="14" t="n"/>
      <c r="AB156" s="14" t="n"/>
      <c r="AC156" s="17" t="n"/>
      <c r="AD156" s="17" t="n"/>
      <c r="AE156" s="19">
        <f>IF($E156&lt;&gt;"Production","",IFERROR($AD156/$L156,""))</f>
        <v/>
      </c>
      <c r="AF156" s="17" t="n"/>
      <c r="AG156" s="17" t="n"/>
      <c r="AH156" s="16" t="n"/>
      <c r="AI156" s="17" t="n"/>
      <c r="AJ156" s="17" t="n"/>
      <c r="AK156" s="17" t="n"/>
      <c r="AL156" s="17" t="n"/>
      <c r="AM156" s="17" t="n"/>
      <c r="AN156" s="17" t="n"/>
    </row>
    <row r="157" ht="15" customHeight="1">
      <c r="A157" s="13">
        <f>IF(COUNTA($B157:$K157)=0,"",ROW()-1)</f>
        <v/>
      </c>
      <c r="B157" s="14" t="inlineStr">
        <is>
          <t>WIP</t>
        </is>
      </c>
      <c r="C157" s="15" t="n">
        <v>46234</v>
      </c>
      <c r="D157" s="16" t="inlineStr">
        <is>
          <t>Production</t>
        </is>
      </c>
      <c r="E157" s="13">
        <f>IF($B157="","",IF($B157="WIP","WIP",IFERROR(INDEX(Lists!$G$4:$G$10,MATCH($D157,Lists!$F$4:$F$10,0)),"Unmapped")))</f>
        <v/>
      </c>
      <c r="F157" s="16" t="n"/>
      <c r="G157" s="16" t="inlineStr">
        <is>
          <t>APA</t>
        </is>
      </c>
      <c r="H157" s="14" t="n">
        <v>26061607</v>
      </c>
      <c r="I157" s="16" t="inlineStr">
        <is>
          <t>APA Qtrly All Hands Nov 2026 Package - Prd Equipment Hire (Revenue) INV-10521</t>
        </is>
      </c>
      <c r="J157" s="14" t="n"/>
      <c r="K157" s="17" t="n">
        <v>-5269.6</v>
      </c>
      <c r="L157" s="18">
        <f>IF($K157="","",IF($E157="Production",$K157-N($AD157),$K157))</f>
        <v/>
      </c>
      <c r="M157" s="18">
        <f>IF($E157="Production",IF($K157="","",$K157-(N($AF157)+N($AG157))),IF($E157="Consulting",IF($K157="","",$K157-(N($AL157)+N($AM157)+N($AN157))),""))</f>
        <v/>
      </c>
      <c r="N157" s="19">
        <f>IFERROR($M157/$K157,"")</f>
        <v/>
      </c>
      <c r="O157" s="13">
        <f>IF(COUNTA($B157:$K157)=0,"",IF($C157="","No date",IF(AND($C157&gt;=Lists!$B$3,$C157&lt;Lists!$B$4),"In FY27","Outside FY27")))</f>
        <v/>
      </c>
      <c r="P157" s="13">
        <f>IF($E157&lt;&gt;"WIP","",IF($H157="","",IF(COUNTIFS($E$2:$E$20000,"&lt;&gt;WIP",$H$2:$H$20000,$H157)&gt;0,"Job already invoiced","")))</f>
        <v/>
      </c>
      <c r="Q157" s="16" t="n"/>
      <c r="R157" s="16" t="n"/>
      <c r="S157" s="15" t="n"/>
      <c r="T157" s="14" t="n"/>
      <c r="U157" s="14" t="n"/>
      <c r="V157" s="14" t="n"/>
      <c r="W157" s="14" t="n"/>
      <c r="X157" s="14" t="n"/>
      <c r="Y157" s="14" t="n"/>
      <c r="Z157" s="14" t="n"/>
      <c r="AA157" s="14" t="n"/>
      <c r="AB157" s="14" t="n"/>
      <c r="AC157" s="17" t="n"/>
      <c r="AD157" s="17" t="n"/>
      <c r="AE157" s="19">
        <f>IF($E157&lt;&gt;"Production","",IFERROR($AD157/$L157,""))</f>
        <v/>
      </c>
      <c r="AF157" s="17" t="n"/>
      <c r="AG157" s="17" t="n"/>
      <c r="AH157" s="16" t="n"/>
      <c r="AI157" s="17" t="n"/>
      <c r="AJ157" s="17" t="n"/>
      <c r="AK157" s="17" t="n"/>
      <c r="AL157" s="17" t="n"/>
      <c r="AM157" s="17" t="n"/>
      <c r="AN157" s="17" t="n"/>
    </row>
    <row r="158" ht="15" customHeight="1">
      <c r="A158" s="13">
        <f>IF(COUNTA($B158:$K158)=0,"",ROW()-1)</f>
        <v/>
      </c>
      <c r="B158" s="14" t="inlineStr">
        <is>
          <t>WIP</t>
        </is>
      </c>
      <c r="C158" s="15" t="n">
        <v>46234</v>
      </c>
      <c r="D158" s="16" t="inlineStr">
        <is>
          <t>Video</t>
        </is>
      </c>
      <c r="E158" s="13">
        <f>IF($B158="","",IF($B158="WIP","WIP",IFERROR(INDEX(Lists!$G$4:$G$10,MATCH($D158,Lists!$F$4:$F$10,0)),"Unmapped")))</f>
        <v/>
      </c>
      <c r="F158" s="16" t="n"/>
      <c r="G158" s="16" t="inlineStr">
        <is>
          <t>APA</t>
        </is>
      </c>
      <c r="H158" s="14" t="inlineStr">
        <is>
          <t>26061607V</t>
        </is>
      </c>
      <c r="I158" s="16" t="inlineStr">
        <is>
          <t>APA Qtrly All Hands Nov 2026 Package - Vid Equipment Hire (Revenue) INV-10521</t>
        </is>
      </c>
      <c r="J158" s="14" t="n"/>
      <c r="K158" s="17" t="n">
        <v>-592</v>
      </c>
      <c r="L158" s="18">
        <f>IF($K158="","",IF($E158="Production",$K158-N($AD158),$K158))</f>
        <v/>
      </c>
      <c r="M158" s="18">
        <f>IF($E158="Production",IF($K158="","",$K158-(N($AF158)+N($AG158))),IF($E158="Consulting",IF($K158="","",$K158-(N($AL158)+N($AM158)+N($AN158))),""))</f>
        <v/>
      </c>
      <c r="N158" s="19">
        <f>IFERROR($M158/$K158,"")</f>
        <v/>
      </c>
      <c r="O158" s="13">
        <f>IF(COUNTA($B158:$K158)=0,"",IF($C158="","No date",IF(AND($C158&gt;=Lists!$B$3,$C158&lt;Lists!$B$4),"In FY27","Outside FY27")))</f>
        <v/>
      </c>
      <c r="P158" s="13">
        <f>IF($E158&lt;&gt;"WIP","",IF($H158="","",IF(COUNTIFS($E$2:$E$20000,"&lt;&gt;WIP",$H$2:$H$20000,$H158)&gt;0,"Job already invoiced","")))</f>
        <v/>
      </c>
      <c r="Q158" s="16" t="n"/>
      <c r="R158" s="16" t="n"/>
      <c r="S158" s="15" t="n"/>
      <c r="T158" s="14" t="n"/>
      <c r="U158" s="14" t="n"/>
      <c r="V158" s="14" t="n"/>
      <c r="W158" s="14" t="n"/>
      <c r="X158" s="14" t="n"/>
      <c r="Y158" s="14" t="n"/>
      <c r="Z158" s="14" t="n"/>
      <c r="AA158" s="14" t="n"/>
      <c r="AB158" s="14" t="n"/>
      <c r="AC158" s="17" t="n"/>
      <c r="AD158" s="17" t="n"/>
      <c r="AE158" s="19">
        <f>IF($E158&lt;&gt;"Production","",IFERROR($AD158/$L158,""))</f>
        <v/>
      </c>
      <c r="AF158" s="17" t="n"/>
      <c r="AG158" s="17" t="n"/>
      <c r="AH158" s="16" t="n"/>
      <c r="AI158" s="17" t="n"/>
      <c r="AJ158" s="17" t="n"/>
      <c r="AK158" s="17" t="n"/>
      <c r="AL158" s="17" t="n"/>
      <c r="AM158" s="17" t="n"/>
      <c r="AN158" s="17" t="n"/>
    </row>
    <row r="159" ht="15" customHeight="1">
      <c r="A159" s="13">
        <f>IF(COUNTA($B159:$K159)=0,"",ROW()-1)</f>
        <v/>
      </c>
      <c r="B159" s="14" t="inlineStr">
        <is>
          <t>WIP</t>
        </is>
      </c>
      <c r="C159" s="15" t="n">
        <v>46234</v>
      </c>
      <c r="D159" s="16" t="inlineStr">
        <is>
          <t>Production</t>
        </is>
      </c>
      <c r="E159" s="13">
        <f>IF($B159="","",IF($B159="WIP","WIP",IFERROR(INDEX(Lists!$G$4:$G$10,MATCH($D159,Lists!$F$4:$F$10,0)),"Unmapped")))</f>
        <v/>
      </c>
      <c r="F159" s="16" t="n"/>
      <c r="G159" s="16" t="inlineStr">
        <is>
          <t>APA</t>
        </is>
      </c>
      <c r="H159" s="14" t="n">
        <v>26061607</v>
      </c>
      <c r="I159" s="16" t="inlineStr">
        <is>
          <t>APA Qtrly All Hands Nov 2026 Package - Prd Labour (Revenue) INV-10521</t>
        </is>
      </c>
      <c r="J159" s="14" t="n"/>
      <c r="K159" s="17" t="n">
        <v>-4869</v>
      </c>
      <c r="L159" s="18">
        <f>IF($K159="","",IF($E159="Production",$K159-N($AD159),$K159))</f>
        <v/>
      </c>
      <c r="M159" s="18">
        <f>IF($E159="Production",IF($K159="","",$K159-(N($AF159)+N($AG159))),IF($E159="Consulting",IF($K159="","",$K159-(N($AL159)+N($AM159)+N($AN159))),""))</f>
        <v/>
      </c>
      <c r="N159" s="19">
        <f>IFERROR($M159/$K159,"")</f>
        <v/>
      </c>
      <c r="O159" s="13">
        <f>IF(COUNTA($B159:$K159)=0,"",IF($C159="","No date",IF(AND($C159&gt;=Lists!$B$3,$C159&lt;Lists!$B$4),"In FY27","Outside FY27")))</f>
        <v/>
      </c>
      <c r="P159" s="13">
        <f>IF($E159&lt;&gt;"WIP","",IF($H159="","",IF(COUNTIFS($E$2:$E$20000,"&lt;&gt;WIP",$H$2:$H$20000,$H159)&gt;0,"Job already invoiced","")))</f>
        <v/>
      </c>
      <c r="Q159" s="16" t="n"/>
      <c r="R159" s="16" t="n"/>
      <c r="S159" s="15" t="n"/>
      <c r="T159" s="14" t="n"/>
      <c r="U159" s="14" t="n"/>
      <c r="V159" s="14" t="n"/>
      <c r="W159" s="14" t="n"/>
      <c r="X159" s="14" t="n"/>
      <c r="Y159" s="14" t="n"/>
      <c r="Z159" s="14" t="n"/>
      <c r="AA159" s="14" t="n"/>
      <c r="AB159" s="14" t="n"/>
      <c r="AC159" s="17" t="n"/>
      <c r="AD159" s="17" t="n"/>
      <c r="AE159" s="19">
        <f>IF($E159&lt;&gt;"Production","",IFERROR($AD159/$L159,""))</f>
        <v/>
      </c>
      <c r="AF159" s="17" t="n"/>
      <c r="AG159" s="17" t="n"/>
      <c r="AH159" s="16" t="n"/>
      <c r="AI159" s="17" t="n"/>
      <c r="AJ159" s="17" t="n"/>
      <c r="AK159" s="17" t="n"/>
      <c r="AL159" s="17" t="n"/>
      <c r="AM159" s="17" t="n"/>
      <c r="AN159" s="17" t="n"/>
    </row>
    <row r="160" ht="15" customHeight="1">
      <c r="A160" s="13">
        <f>IF(COUNTA($B160:$K160)=0,"",ROW()-1)</f>
        <v/>
      </c>
      <c r="B160" s="14" t="inlineStr">
        <is>
          <t>WIP</t>
        </is>
      </c>
      <c r="C160" s="15" t="n">
        <v>46234</v>
      </c>
      <c r="D160" s="16" t="inlineStr">
        <is>
          <t>Video</t>
        </is>
      </c>
      <c r="E160" s="13">
        <f>IF($B160="","",IF($B160="WIP","WIP",IFERROR(INDEX(Lists!$G$4:$G$10,MATCH($D160,Lists!$F$4:$F$10,0)),"Unmapped")))</f>
        <v/>
      </c>
      <c r="F160" s="16" t="n"/>
      <c r="G160" s="16" t="inlineStr">
        <is>
          <t>APA</t>
        </is>
      </c>
      <c r="H160" s="14" t="inlineStr">
        <is>
          <t>26061607V</t>
        </is>
      </c>
      <c r="I160" s="16" t="inlineStr">
        <is>
          <t>APA Qtrly All Hands Nov 2026 Package - Vid Labour (Revenue) INV-10521</t>
        </is>
      </c>
      <c r="J160" s="14" t="n"/>
      <c r="K160" s="17" t="n">
        <v>-485</v>
      </c>
      <c r="L160" s="18">
        <f>IF($K160="","",IF($E160="Production",$K160-N($AD160),$K160))</f>
        <v/>
      </c>
      <c r="M160" s="18">
        <f>IF($E160="Production",IF($K160="","",$K160-(N($AF160)+N($AG160))),IF($E160="Consulting",IF($K160="","",$K160-(N($AL160)+N($AM160)+N($AN160))),""))</f>
        <v/>
      </c>
      <c r="N160" s="19">
        <f>IFERROR($M160/$K160,"")</f>
        <v/>
      </c>
      <c r="O160" s="13">
        <f>IF(COUNTA($B160:$K160)=0,"",IF($C160="","No date",IF(AND($C160&gt;=Lists!$B$3,$C160&lt;Lists!$B$4),"In FY27","Outside FY27")))</f>
        <v/>
      </c>
      <c r="P160" s="13">
        <f>IF($E160&lt;&gt;"WIP","",IF($H160="","",IF(COUNTIFS($E$2:$E$20000,"&lt;&gt;WIP",$H$2:$H$20000,$H160)&gt;0,"Job already invoiced","")))</f>
        <v/>
      </c>
      <c r="Q160" s="16" t="n"/>
      <c r="R160" s="16" t="n"/>
      <c r="S160" s="15" t="n"/>
      <c r="T160" s="14" t="n"/>
      <c r="U160" s="14" t="n"/>
      <c r="V160" s="14" t="n"/>
      <c r="W160" s="14" t="n"/>
      <c r="X160" s="14" t="n"/>
      <c r="Y160" s="14" t="n"/>
      <c r="Z160" s="14" t="n"/>
      <c r="AA160" s="14" t="n"/>
      <c r="AB160" s="14" t="n"/>
      <c r="AC160" s="17" t="n"/>
      <c r="AD160" s="17" t="n"/>
      <c r="AE160" s="19">
        <f>IF($E160&lt;&gt;"Production","",IFERROR($AD160/$L160,""))</f>
        <v/>
      </c>
      <c r="AF160" s="17" t="n"/>
      <c r="AG160" s="17" t="n"/>
      <c r="AH160" s="16" t="n"/>
      <c r="AI160" s="17" t="n"/>
      <c r="AJ160" s="17" t="n"/>
      <c r="AK160" s="17" t="n"/>
      <c r="AL160" s="17" t="n"/>
      <c r="AM160" s="17" t="n"/>
      <c r="AN160" s="17" t="n"/>
    </row>
    <row r="161" ht="15" customHeight="1">
      <c r="A161" s="13">
        <f>IF(COUNTA($B161:$K161)=0,"",ROW()-1)</f>
        <v/>
      </c>
      <c r="B161" s="14" t="inlineStr">
        <is>
          <t>WIP</t>
        </is>
      </c>
      <c r="C161" s="15" t="n">
        <v>46234</v>
      </c>
      <c r="D161" s="16" t="inlineStr">
        <is>
          <t>Production</t>
        </is>
      </c>
      <c r="E161" s="13">
        <f>IF($B161="","",IF($B161="WIP","WIP",IFERROR(INDEX(Lists!$G$4:$G$10,MATCH($D161,Lists!$F$4:$F$10,0)),"Unmapped")))</f>
        <v/>
      </c>
      <c r="F161" s="16" t="n"/>
      <c r="G161" s="16" t="inlineStr">
        <is>
          <t>APA</t>
        </is>
      </c>
      <c r="H161" s="14" t="n">
        <v>26061607</v>
      </c>
      <c r="I161" s="16" t="inlineStr">
        <is>
          <t>APA Qtrly All Hands Nov 2026 Package - Conf Call (Revenue) INV-10521</t>
        </is>
      </c>
      <c r="J161" s="14" t="n"/>
      <c r="K161" s="17" t="n">
        <v>-750</v>
      </c>
      <c r="L161" s="18">
        <f>IF($K161="","",IF($E161="Production",$K161-N($AD161),$K161))</f>
        <v/>
      </c>
      <c r="M161" s="18">
        <f>IF($E161="Production",IF($K161="","",$K161-(N($AF161)+N($AG161))),IF($E161="Consulting",IF($K161="","",$K161-(N($AL161)+N($AM161)+N($AN161))),""))</f>
        <v/>
      </c>
      <c r="N161" s="19">
        <f>IFERROR($M161/$K161,"")</f>
        <v/>
      </c>
      <c r="O161" s="13">
        <f>IF(COUNTA($B161:$K161)=0,"",IF($C161="","No date",IF(AND($C161&gt;=Lists!$B$3,$C161&lt;Lists!$B$4),"In FY27","Outside FY27")))</f>
        <v/>
      </c>
      <c r="P161" s="13">
        <f>IF($E161&lt;&gt;"WIP","",IF($H161="","",IF(COUNTIFS($E$2:$E$20000,"&lt;&gt;WIP",$H$2:$H$20000,$H161)&gt;0,"Job already invoiced","")))</f>
        <v/>
      </c>
      <c r="Q161" s="16" t="n"/>
      <c r="R161" s="16" t="n"/>
      <c r="S161" s="15" t="n"/>
      <c r="T161" s="14" t="n"/>
      <c r="U161" s="14" t="n"/>
      <c r="V161" s="14" t="n"/>
      <c r="W161" s="14" t="n"/>
      <c r="X161" s="14" t="n"/>
      <c r="Y161" s="14" t="n"/>
      <c r="Z161" s="14" t="n"/>
      <c r="AA161" s="14" t="n"/>
      <c r="AB161" s="14" t="n"/>
      <c r="AC161" s="17" t="n"/>
      <c r="AD161" s="17" t="n"/>
      <c r="AE161" s="19">
        <f>IF($E161&lt;&gt;"Production","",IFERROR($AD161/$L161,""))</f>
        <v/>
      </c>
      <c r="AF161" s="17" t="n"/>
      <c r="AG161" s="17" t="n"/>
      <c r="AH161" s="16" t="n"/>
      <c r="AI161" s="17" t="n"/>
      <c r="AJ161" s="17" t="n"/>
      <c r="AK161" s="17" t="n"/>
      <c r="AL161" s="17" t="n"/>
      <c r="AM161" s="17" t="n"/>
      <c r="AN161" s="17" t="n"/>
    </row>
    <row r="162" ht="15" customHeight="1">
      <c r="A162" s="13">
        <f>IF(COUNTA($B162:$K162)=0,"",ROW()-1)</f>
        <v/>
      </c>
      <c r="B162" s="14" t="inlineStr">
        <is>
          <t>WIP</t>
        </is>
      </c>
      <c r="C162" s="15" t="n">
        <v>46234</v>
      </c>
      <c r="D162" s="16" t="inlineStr">
        <is>
          <t>Production</t>
        </is>
      </c>
      <c r="E162" s="13">
        <f>IF($B162="","",IF($B162="WIP","WIP",IFERROR(INDEX(Lists!$G$4:$G$10,MATCH($D162,Lists!$F$4:$F$10,0)),"Unmapped")))</f>
        <v/>
      </c>
      <c r="F162" s="16" t="n"/>
      <c r="G162" s="16" t="inlineStr">
        <is>
          <t>APA</t>
        </is>
      </c>
      <c r="H162" s="14" t="n">
        <v>26061607</v>
      </c>
      <c r="I162" s="16" t="inlineStr">
        <is>
          <t>APA Qtrly All Hands Nov 2026 Package - Transport (Revenue) INV-10521</t>
        </is>
      </c>
      <c r="J162" s="14" t="n"/>
      <c r="K162" s="17" t="n">
        <v>-300</v>
      </c>
      <c r="L162" s="18">
        <f>IF($K162="","",IF($E162="Production",$K162-N($AD162),$K162))</f>
        <v/>
      </c>
      <c r="M162" s="18">
        <f>IF($E162="Production",IF($K162="","",$K162-(N($AF162)+N($AG162))),IF($E162="Consulting",IF($K162="","",$K162-(N($AL162)+N($AM162)+N($AN162))),""))</f>
        <v/>
      </c>
      <c r="N162" s="19">
        <f>IFERROR($M162/$K162,"")</f>
        <v/>
      </c>
      <c r="O162" s="13">
        <f>IF(COUNTA($B162:$K162)=0,"",IF($C162="","No date",IF(AND($C162&gt;=Lists!$B$3,$C162&lt;Lists!$B$4),"In FY27","Outside FY27")))</f>
        <v/>
      </c>
      <c r="P162" s="13">
        <f>IF($E162&lt;&gt;"WIP","",IF($H162="","",IF(COUNTIFS($E$2:$E$20000,"&lt;&gt;WIP",$H$2:$H$20000,$H162)&gt;0,"Job already invoiced","")))</f>
        <v/>
      </c>
      <c r="Q162" s="16" t="n"/>
      <c r="R162" s="16" t="n"/>
      <c r="S162" s="15" t="n"/>
      <c r="T162" s="14" t="n"/>
      <c r="U162" s="14" t="n"/>
      <c r="V162" s="14" t="n"/>
      <c r="W162" s="14" t="n"/>
      <c r="X162" s="14" t="n"/>
      <c r="Y162" s="14" t="n"/>
      <c r="Z162" s="14" t="n"/>
      <c r="AA162" s="14" t="n"/>
      <c r="AB162" s="14" t="n"/>
      <c r="AC162" s="17" t="n"/>
      <c r="AD162" s="17" t="n"/>
      <c r="AE162" s="19">
        <f>IF($E162&lt;&gt;"Production","",IFERROR($AD162/$L162,""))</f>
        <v/>
      </c>
      <c r="AF162" s="17" t="n"/>
      <c r="AG162" s="17" t="n"/>
      <c r="AH162" s="16" t="n"/>
      <c r="AI162" s="17" t="n"/>
      <c r="AJ162" s="17" t="n"/>
      <c r="AK162" s="17" t="n"/>
      <c r="AL162" s="17" t="n"/>
      <c r="AM162" s="17" t="n"/>
      <c r="AN162" s="17" t="n"/>
    </row>
    <row r="163" ht="15" customHeight="1">
      <c r="A163" s="13">
        <f>IF(COUNTA($B163:$K163)=0,"",ROW()-1)</f>
        <v/>
      </c>
      <c r="B163" s="14" t="inlineStr">
        <is>
          <t>WIP</t>
        </is>
      </c>
      <c r="C163" s="15" t="n">
        <v>46234</v>
      </c>
      <c r="D163" s="16" t="inlineStr">
        <is>
          <t>Production</t>
        </is>
      </c>
      <c r="E163" s="13">
        <f>IF($B163="","",IF($B163="WIP","WIP",IFERROR(INDEX(Lists!$G$4:$G$10,MATCH($D163,Lists!$F$4:$F$10,0)),"Unmapped")))</f>
        <v/>
      </c>
      <c r="F163" s="16" t="n"/>
      <c r="G163" s="16" t="inlineStr">
        <is>
          <t>APA</t>
        </is>
      </c>
      <c r="H163" s="14" t="n">
        <v>26061607</v>
      </c>
      <c r="I163" s="16" t="inlineStr">
        <is>
          <t>APA Qtrly All Hands Nov 2026 Package - Tech  Event Mgmt (Revenue) INV-10521</t>
        </is>
      </c>
      <c r="J163" s="14" t="n"/>
      <c r="K163" s="17" t="n">
        <v>-690</v>
      </c>
      <c r="L163" s="18">
        <f>IF($K163="","",IF($E163="Production",$K163-N($AD163),$K163))</f>
        <v/>
      </c>
      <c r="M163" s="18">
        <f>IF($E163="Production",IF($K163="","",$K163-(N($AF163)+N($AG163))),IF($E163="Consulting",IF($K163="","",$K163-(N($AL163)+N($AM163)+N($AN163))),""))</f>
        <v/>
      </c>
      <c r="N163" s="19">
        <f>IFERROR($M163/$K163,"")</f>
        <v/>
      </c>
      <c r="O163" s="13">
        <f>IF(COUNTA($B163:$K163)=0,"",IF($C163="","No date",IF(AND($C163&gt;=Lists!$B$3,$C163&lt;Lists!$B$4),"In FY27","Outside FY27")))</f>
        <v/>
      </c>
      <c r="P163" s="13">
        <f>IF($E163&lt;&gt;"WIP","",IF($H163="","",IF(COUNTIFS($E$2:$E$20000,"&lt;&gt;WIP",$H$2:$H$20000,$H163)&gt;0,"Job already invoiced","")))</f>
        <v/>
      </c>
      <c r="Q163" s="16" t="n"/>
      <c r="R163" s="16" t="n"/>
      <c r="S163" s="15" t="n"/>
      <c r="T163" s="14" t="n"/>
      <c r="U163" s="14" t="n"/>
      <c r="V163" s="14" t="n"/>
      <c r="W163" s="14" t="n"/>
      <c r="X163" s="14" t="n"/>
      <c r="Y163" s="14" t="n"/>
      <c r="Z163" s="14" t="n"/>
      <c r="AA163" s="14" t="n"/>
      <c r="AB163" s="14" t="n"/>
      <c r="AC163" s="17" t="n"/>
      <c r="AD163" s="17" t="n"/>
      <c r="AE163" s="19">
        <f>IF($E163&lt;&gt;"Production","",IFERROR($AD163/$L163,""))</f>
        <v/>
      </c>
      <c r="AF163" s="17" t="n"/>
      <c r="AG163" s="17" t="n"/>
      <c r="AH163" s="16" t="n"/>
      <c r="AI163" s="17" t="n"/>
      <c r="AJ163" s="17" t="n"/>
      <c r="AK163" s="17" t="n"/>
      <c r="AL163" s="17" t="n"/>
      <c r="AM163" s="17" t="n"/>
      <c r="AN163" s="17" t="n"/>
    </row>
    <row r="164" ht="15" customHeight="1">
      <c r="A164" s="13">
        <f>IF(COUNTA($B164:$K164)=0,"",ROW()-1)</f>
        <v/>
      </c>
      <c r="B164" s="14" t="inlineStr">
        <is>
          <t>WIP</t>
        </is>
      </c>
      <c r="C164" s="15" t="n">
        <v>46234</v>
      </c>
      <c r="D164" s="16" t="inlineStr">
        <is>
          <t>Production</t>
        </is>
      </c>
      <c r="E164" s="13">
        <f>IF($B164="","",IF($B164="WIP","WIP",IFERROR(INDEX(Lists!$G$4:$G$10,MATCH($D164,Lists!$F$4:$F$10,0)),"Unmapped")))</f>
        <v/>
      </c>
      <c r="F164" s="16" t="n"/>
      <c r="G164" s="16" t="inlineStr">
        <is>
          <t>APA</t>
        </is>
      </c>
      <c r="H164" s="14" t="n">
        <v>26061607</v>
      </c>
      <c r="I164" s="16" t="inlineStr">
        <is>
          <t>APA Qtrly All Hands Nov 2026 Package - Travel (Revenue) INV-10521</t>
        </is>
      </c>
      <c r="J164" s="14" t="n"/>
      <c r="K164" s="17" t="n">
        <v>-1025</v>
      </c>
      <c r="L164" s="18">
        <f>IF($K164="","",IF($E164="Production",$K164-N($AD164),$K164))</f>
        <v/>
      </c>
      <c r="M164" s="18">
        <f>IF($E164="Production",IF($K164="","",$K164-(N($AF164)+N($AG164))),IF($E164="Consulting",IF($K164="","",$K164-(N($AL164)+N($AM164)+N($AN164))),""))</f>
        <v/>
      </c>
      <c r="N164" s="19">
        <f>IFERROR($M164/$K164,"")</f>
        <v/>
      </c>
      <c r="O164" s="13">
        <f>IF(COUNTA($B164:$K164)=0,"",IF($C164="","No date",IF(AND($C164&gt;=Lists!$B$3,$C164&lt;Lists!$B$4),"In FY27","Outside FY27")))</f>
        <v/>
      </c>
      <c r="P164" s="13">
        <f>IF($E164&lt;&gt;"WIP","",IF($H164="","",IF(COUNTIFS($E$2:$E$20000,"&lt;&gt;WIP",$H$2:$H$20000,$H164)&gt;0,"Job already invoiced","")))</f>
        <v/>
      </c>
      <c r="Q164" s="16" t="n"/>
      <c r="R164" s="16" t="n"/>
      <c r="S164" s="15" t="n"/>
      <c r="T164" s="14" t="n"/>
      <c r="U164" s="14" t="n"/>
      <c r="V164" s="14" t="n"/>
      <c r="W164" s="14" t="n"/>
      <c r="X164" s="14" t="n"/>
      <c r="Y164" s="14" t="n"/>
      <c r="Z164" s="14" t="n"/>
      <c r="AA164" s="14" t="n"/>
      <c r="AB164" s="14" t="n"/>
      <c r="AC164" s="17" t="n"/>
      <c r="AD164" s="17" t="n"/>
      <c r="AE164" s="19">
        <f>IF($E164&lt;&gt;"Production","",IFERROR($AD164/$L164,""))</f>
        <v/>
      </c>
      <c r="AF164" s="17" t="n"/>
      <c r="AG164" s="17" t="n"/>
      <c r="AH164" s="16" t="n"/>
      <c r="AI164" s="17" t="n"/>
      <c r="AJ164" s="17" t="n"/>
      <c r="AK164" s="17" t="n"/>
      <c r="AL164" s="17" t="n"/>
      <c r="AM164" s="17" t="n"/>
      <c r="AN164" s="17" t="n"/>
    </row>
    <row r="165" ht="15" customHeight="1">
      <c r="A165" s="13">
        <f>IF(COUNTA($B165:$K165)=0,"",ROW()-1)</f>
        <v/>
      </c>
      <c r="B165" s="14" t="inlineStr">
        <is>
          <t>WIP</t>
        </is>
      </c>
      <c r="C165" s="15" t="n">
        <v>46234</v>
      </c>
      <c r="D165" s="16" t="inlineStr">
        <is>
          <t>Production</t>
        </is>
      </c>
      <c r="E165" s="13">
        <f>IF($B165="","",IF($B165="WIP","WIP",IFERROR(INDEX(Lists!$G$4:$G$10,MATCH($D165,Lists!$F$4:$F$10,0)),"Unmapped")))</f>
        <v/>
      </c>
      <c r="F165" s="16" t="n"/>
      <c r="G165" s="16" t="inlineStr">
        <is>
          <t>APA</t>
        </is>
      </c>
      <c r="H165" s="14" t="n">
        <v>26061608</v>
      </c>
      <c r="I165" s="16" t="inlineStr">
        <is>
          <t>APA Qtrly All Hands Feb 2027 Package - Prd Equipment Hire (Revenue) INV-10521</t>
        </is>
      </c>
      <c r="J165" s="14" t="n"/>
      <c r="K165" s="17" t="n">
        <v>-5857.6</v>
      </c>
      <c r="L165" s="18">
        <f>IF($K165="","",IF($E165="Production",$K165-N($AD165),$K165))</f>
        <v/>
      </c>
      <c r="M165" s="18">
        <f>IF($E165="Production",IF($K165="","",$K165-(N($AF165)+N($AG165))),IF($E165="Consulting",IF($K165="","",$K165-(N($AL165)+N($AM165)+N($AN165))),""))</f>
        <v/>
      </c>
      <c r="N165" s="19">
        <f>IFERROR($M165/$K165,"")</f>
        <v/>
      </c>
      <c r="O165" s="13">
        <f>IF(COUNTA($B165:$K165)=0,"",IF($C165="","No date",IF(AND($C165&gt;=Lists!$B$3,$C165&lt;Lists!$B$4),"In FY27","Outside FY27")))</f>
        <v/>
      </c>
      <c r="P165" s="13">
        <f>IF($E165&lt;&gt;"WIP","",IF($H165="","",IF(COUNTIFS($E$2:$E$20000,"&lt;&gt;WIP",$H$2:$H$20000,$H165)&gt;0,"Job already invoiced","")))</f>
        <v/>
      </c>
      <c r="Q165" s="16" t="n"/>
      <c r="R165" s="16" t="n"/>
      <c r="S165" s="15" t="n"/>
      <c r="T165" s="14" t="n"/>
      <c r="U165" s="14" t="n"/>
      <c r="V165" s="14" t="n"/>
      <c r="W165" s="14" t="n"/>
      <c r="X165" s="14" t="n"/>
      <c r="Y165" s="14" t="n"/>
      <c r="Z165" s="14" t="n"/>
      <c r="AA165" s="14" t="n"/>
      <c r="AB165" s="14" t="n"/>
      <c r="AC165" s="17" t="n"/>
      <c r="AD165" s="17" t="n"/>
      <c r="AE165" s="19">
        <f>IF($E165&lt;&gt;"Production","",IFERROR($AD165/$L165,""))</f>
        <v/>
      </c>
      <c r="AF165" s="17" t="n"/>
      <c r="AG165" s="17" t="n"/>
      <c r="AH165" s="16" t="n"/>
      <c r="AI165" s="17" t="n"/>
      <c r="AJ165" s="17" t="n"/>
      <c r="AK165" s="17" t="n"/>
      <c r="AL165" s="17" t="n"/>
      <c r="AM165" s="17" t="n"/>
      <c r="AN165" s="17" t="n"/>
    </row>
    <row r="166" ht="15" customHeight="1">
      <c r="A166" s="13">
        <f>IF(COUNTA($B166:$K166)=0,"",ROW()-1)</f>
        <v/>
      </c>
      <c r="B166" s="14" t="inlineStr">
        <is>
          <t>WIP</t>
        </is>
      </c>
      <c r="C166" s="15" t="n">
        <v>46234</v>
      </c>
      <c r="D166" s="16" t="inlineStr">
        <is>
          <t>Video</t>
        </is>
      </c>
      <c r="E166" s="13">
        <f>IF($B166="","",IF($B166="WIP","WIP",IFERROR(INDEX(Lists!$G$4:$G$10,MATCH($D166,Lists!$F$4:$F$10,0)),"Unmapped")))</f>
        <v/>
      </c>
      <c r="F166" s="16" t="n"/>
      <c r="G166" s="16" t="inlineStr">
        <is>
          <t>APA</t>
        </is>
      </c>
      <c r="H166" s="14" t="inlineStr">
        <is>
          <t>26061608V</t>
        </is>
      </c>
      <c r="I166" s="16" t="inlineStr">
        <is>
          <t>APA Qtrly All Hands Feb 2027 Package - Vid Equipment Hire (Revenue) INV-10521</t>
        </is>
      </c>
      <c r="J166" s="14" t="n"/>
      <c r="K166" s="17" t="n">
        <v>-592</v>
      </c>
      <c r="L166" s="18">
        <f>IF($K166="","",IF($E166="Production",$K166-N($AD166),$K166))</f>
        <v/>
      </c>
      <c r="M166" s="18">
        <f>IF($E166="Production",IF($K166="","",$K166-(N($AF166)+N($AG166))),IF($E166="Consulting",IF($K166="","",$K166-(N($AL166)+N($AM166)+N($AN166))),""))</f>
        <v/>
      </c>
      <c r="N166" s="19">
        <f>IFERROR($M166/$K166,"")</f>
        <v/>
      </c>
      <c r="O166" s="13">
        <f>IF(COUNTA($B166:$K166)=0,"",IF($C166="","No date",IF(AND($C166&gt;=Lists!$B$3,$C166&lt;Lists!$B$4),"In FY27","Outside FY27")))</f>
        <v/>
      </c>
      <c r="P166" s="13">
        <f>IF($E166&lt;&gt;"WIP","",IF($H166="","",IF(COUNTIFS($E$2:$E$20000,"&lt;&gt;WIP",$H$2:$H$20000,$H166)&gt;0,"Job already invoiced","")))</f>
        <v/>
      </c>
      <c r="Q166" s="16" t="n"/>
      <c r="R166" s="16" t="n"/>
      <c r="S166" s="15" t="n"/>
      <c r="T166" s="14" t="n"/>
      <c r="U166" s="14" t="n"/>
      <c r="V166" s="14" t="n"/>
      <c r="W166" s="14" t="n"/>
      <c r="X166" s="14" t="n"/>
      <c r="Y166" s="14" t="n"/>
      <c r="Z166" s="14" t="n"/>
      <c r="AA166" s="14" t="n"/>
      <c r="AB166" s="14" t="n"/>
      <c r="AC166" s="17" t="n"/>
      <c r="AD166" s="17" t="n"/>
      <c r="AE166" s="19">
        <f>IF($E166&lt;&gt;"Production","",IFERROR($AD166/$L166,""))</f>
        <v/>
      </c>
      <c r="AF166" s="17" t="n"/>
      <c r="AG166" s="17" t="n"/>
      <c r="AH166" s="16" t="n"/>
      <c r="AI166" s="17" t="n"/>
      <c r="AJ166" s="17" t="n"/>
      <c r="AK166" s="17" t="n"/>
      <c r="AL166" s="17" t="n"/>
      <c r="AM166" s="17" t="n"/>
      <c r="AN166" s="17" t="n"/>
    </row>
    <row r="167" ht="15" customHeight="1">
      <c r="A167" s="13">
        <f>IF(COUNTA($B167:$K167)=0,"",ROW()-1)</f>
        <v/>
      </c>
      <c r="B167" s="14" t="inlineStr">
        <is>
          <t>WIP</t>
        </is>
      </c>
      <c r="C167" s="15" t="n">
        <v>46234</v>
      </c>
      <c r="D167" s="16" t="inlineStr">
        <is>
          <t>Production</t>
        </is>
      </c>
      <c r="E167" s="13">
        <f>IF($B167="","",IF($B167="WIP","WIP",IFERROR(INDEX(Lists!$G$4:$G$10,MATCH($D167,Lists!$F$4:$F$10,0)),"Unmapped")))</f>
        <v/>
      </c>
      <c r="F167" s="16" t="n"/>
      <c r="G167" s="16" t="inlineStr">
        <is>
          <t>APA</t>
        </is>
      </c>
      <c r="H167" s="14" t="n">
        <v>26061608</v>
      </c>
      <c r="I167" s="16" t="inlineStr">
        <is>
          <t>APA Qtrly All Hands Feb 2027 Package - Prd Labour (Revenue) INV-10521</t>
        </is>
      </c>
      <c r="J167" s="14" t="n"/>
      <c r="K167" s="17" t="n">
        <v>-4076</v>
      </c>
      <c r="L167" s="18">
        <f>IF($K167="","",IF($E167="Production",$K167-N($AD167),$K167))</f>
        <v/>
      </c>
      <c r="M167" s="18">
        <f>IF($E167="Production",IF($K167="","",$K167-(N($AF167)+N($AG167))),IF($E167="Consulting",IF($K167="","",$K167-(N($AL167)+N($AM167)+N($AN167))),""))</f>
        <v/>
      </c>
      <c r="N167" s="19">
        <f>IFERROR($M167/$K167,"")</f>
        <v/>
      </c>
      <c r="O167" s="13">
        <f>IF(COUNTA($B167:$K167)=0,"",IF($C167="","No date",IF(AND($C167&gt;=Lists!$B$3,$C167&lt;Lists!$B$4),"In FY27","Outside FY27")))</f>
        <v/>
      </c>
      <c r="P167" s="13">
        <f>IF($E167&lt;&gt;"WIP","",IF($H167="","",IF(COUNTIFS($E$2:$E$20000,"&lt;&gt;WIP",$H$2:$H$20000,$H167)&gt;0,"Job already invoiced","")))</f>
        <v/>
      </c>
      <c r="Q167" s="16" t="n"/>
      <c r="R167" s="16" t="n"/>
      <c r="S167" s="15" t="n"/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7" t="n"/>
      <c r="AD167" s="17" t="n"/>
      <c r="AE167" s="19">
        <f>IF($E167&lt;&gt;"Production","",IFERROR($AD167/$L167,""))</f>
        <v/>
      </c>
      <c r="AF167" s="17" t="n"/>
      <c r="AG167" s="17" t="n"/>
      <c r="AH167" s="16" t="n"/>
      <c r="AI167" s="17" t="n"/>
      <c r="AJ167" s="17" t="n"/>
      <c r="AK167" s="17" t="n"/>
      <c r="AL167" s="17" t="n"/>
      <c r="AM167" s="17" t="n"/>
      <c r="AN167" s="17" t="n"/>
    </row>
    <row r="168" ht="15" customHeight="1">
      <c r="A168" s="13">
        <f>IF(COUNTA($B168:$K168)=0,"",ROW()-1)</f>
        <v/>
      </c>
      <c r="B168" s="14" t="inlineStr">
        <is>
          <t>WIP</t>
        </is>
      </c>
      <c r="C168" s="15" t="n">
        <v>46234</v>
      </c>
      <c r="D168" s="16" t="inlineStr">
        <is>
          <t>Video</t>
        </is>
      </c>
      <c r="E168" s="13">
        <f>IF($B168="","",IF($B168="WIP","WIP",IFERROR(INDEX(Lists!$G$4:$G$10,MATCH($D168,Lists!$F$4:$F$10,0)),"Unmapped")))</f>
        <v/>
      </c>
      <c r="F168" s="16" t="n"/>
      <c r="G168" s="16" t="inlineStr">
        <is>
          <t>APA</t>
        </is>
      </c>
      <c r="H168" s="14" t="inlineStr">
        <is>
          <t>26061608V</t>
        </is>
      </c>
      <c r="I168" s="16" t="inlineStr">
        <is>
          <t>APA Qtrly All Hands Feb 2027 Package - Vid Labour (Revenue) INV-10521</t>
        </is>
      </c>
      <c r="J168" s="14" t="n"/>
      <c r="K168" s="17" t="n">
        <v>-485</v>
      </c>
      <c r="L168" s="18">
        <f>IF($K168="","",IF($E168="Production",$K168-N($AD168),$K168))</f>
        <v/>
      </c>
      <c r="M168" s="18">
        <f>IF($E168="Production",IF($K168="","",$K168-(N($AF168)+N($AG168))),IF($E168="Consulting",IF($K168="","",$K168-(N($AL168)+N($AM168)+N($AN168))),""))</f>
        <v/>
      </c>
      <c r="N168" s="19">
        <f>IFERROR($M168/$K168,"")</f>
        <v/>
      </c>
      <c r="O168" s="13">
        <f>IF(COUNTA($B168:$K168)=0,"",IF($C168="","No date",IF(AND($C168&gt;=Lists!$B$3,$C168&lt;Lists!$B$4),"In FY27","Outside FY27")))</f>
        <v/>
      </c>
      <c r="P168" s="13">
        <f>IF($E168&lt;&gt;"WIP","",IF($H168="","",IF(COUNTIFS($E$2:$E$20000,"&lt;&gt;WIP",$H$2:$H$20000,$H168)&gt;0,"Job already invoiced","")))</f>
        <v/>
      </c>
      <c r="Q168" s="16" t="n"/>
      <c r="R168" s="16" t="n"/>
      <c r="S168" s="15" t="n"/>
      <c r="T168" s="14" t="n"/>
      <c r="U168" s="14" t="n"/>
      <c r="V168" s="14" t="n"/>
      <c r="W168" s="14" t="n"/>
      <c r="X168" s="14" t="n"/>
      <c r="Y168" s="14" t="n"/>
      <c r="Z168" s="14" t="n"/>
      <c r="AA168" s="14" t="n"/>
      <c r="AB168" s="14" t="n"/>
      <c r="AC168" s="17" t="n"/>
      <c r="AD168" s="17" t="n"/>
      <c r="AE168" s="19">
        <f>IF($E168&lt;&gt;"Production","",IFERROR($AD168/$L168,""))</f>
        <v/>
      </c>
      <c r="AF168" s="17" t="n"/>
      <c r="AG168" s="17" t="n"/>
      <c r="AH168" s="16" t="n"/>
      <c r="AI168" s="17" t="n"/>
      <c r="AJ168" s="17" t="n"/>
      <c r="AK168" s="17" t="n"/>
      <c r="AL168" s="17" t="n"/>
      <c r="AM168" s="17" t="n"/>
      <c r="AN168" s="17" t="n"/>
    </row>
    <row r="169" ht="15" customHeight="1">
      <c r="A169" s="13">
        <f>IF(COUNTA($B169:$K169)=0,"",ROW()-1)</f>
        <v/>
      </c>
      <c r="B169" s="14" t="inlineStr">
        <is>
          <t>WIP</t>
        </is>
      </c>
      <c r="C169" s="15" t="n">
        <v>46234</v>
      </c>
      <c r="D169" s="16" t="inlineStr">
        <is>
          <t>Production</t>
        </is>
      </c>
      <c r="E169" s="13">
        <f>IF($B169="","",IF($B169="WIP","WIP",IFERROR(INDEX(Lists!$G$4:$G$10,MATCH($D169,Lists!$F$4:$F$10,0)),"Unmapped")))</f>
        <v/>
      </c>
      <c r="F169" s="16" t="n"/>
      <c r="G169" s="16" t="inlineStr">
        <is>
          <t>APA</t>
        </is>
      </c>
      <c r="H169" s="14" t="n">
        <v>26061608</v>
      </c>
      <c r="I169" s="16" t="inlineStr">
        <is>
          <t>APA Qtrly All Hands Feb 2027 Package - Conf Call (Revenue) INV-10521</t>
        </is>
      </c>
      <c r="J169" s="14" t="n"/>
      <c r="K169" s="17" t="n">
        <v>-600</v>
      </c>
      <c r="L169" s="18">
        <f>IF($K169="","",IF($E169="Production",$K169-N($AD169),$K169))</f>
        <v/>
      </c>
      <c r="M169" s="18">
        <f>IF($E169="Production",IF($K169="","",$K169-(N($AF169)+N($AG169))),IF($E169="Consulting",IF($K169="","",$K169-(N($AL169)+N($AM169)+N($AN169))),""))</f>
        <v/>
      </c>
      <c r="N169" s="19">
        <f>IFERROR($M169/$K169,"")</f>
        <v/>
      </c>
      <c r="O169" s="13">
        <f>IF(COUNTA($B169:$K169)=0,"",IF($C169="","No date",IF(AND($C169&gt;=Lists!$B$3,$C169&lt;Lists!$B$4),"In FY27","Outside FY27")))</f>
        <v/>
      </c>
      <c r="P169" s="13">
        <f>IF($E169&lt;&gt;"WIP","",IF($H169="","",IF(COUNTIFS($E$2:$E$20000,"&lt;&gt;WIP",$H$2:$H$20000,$H169)&gt;0,"Job already invoiced","")))</f>
        <v/>
      </c>
      <c r="Q169" s="16" t="n"/>
      <c r="R169" s="16" t="n"/>
      <c r="S169" s="15" t="n"/>
      <c r="T169" s="14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  <c r="AC169" s="17" t="n"/>
      <c r="AD169" s="17" t="n"/>
      <c r="AE169" s="19">
        <f>IF($E169&lt;&gt;"Production","",IFERROR($AD169/$L169,""))</f>
        <v/>
      </c>
      <c r="AF169" s="17" t="n"/>
      <c r="AG169" s="17" t="n"/>
      <c r="AH169" s="16" t="n"/>
      <c r="AI169" s="17" t="n"/>
      <c r="AJ169" s="17" t="n"/>
      <c r="AK169" s="17" t="n"/>
      <c r="AL169" s="17" t="n"/>
      <c r="AM169" s="17" t="n"/>
      <c r="AN169" s="17" t="n"/>
    </row>
    <row r="170" ht="15" customHeight="1">
      <c r="A170" s="13">
        <f>IF(COUNTA($B170:$K170)=0,"",ROW()-1)</f>
        <v/>
      </c>
      <c r="B170" s="14" t="inlineStr">
        <is>
          <t>WIP</t>
        </is>
      </c>
      <c r="C170" s="15" t="n">
        <v>46234</v>
      </c>
      <c r="D170" s="16" t="inlineStr">
        <is>
          <t>Production</t>
        </is>
      </c>
      <c r="E170" s="13">
        <f>IF($B170="","",IF($B170="WIP","WIP",IFERROR(INDEX(Lists!$G$4:$G$10,MATCH($D170,Lists!$F$4:$F$10,0)),"Unmapped")))</f>
        <v/>
      </c>
      <c r="F170" s="16" t="n"/>
      <c r="G170" s="16" t="inlineStr">
        <is>
          <t>APA</t>
        </is>
      </c>
      <c r="H170" s="14" t="n">
        <v>26061608</v>
      </c>
      <c r="I170" s="16" t="inlineStr">
        <is>
          <t>APA Qtrly All Hands Feb 2027 Package - Transport (Revenue) INV-10521</t>
        </is>
      </c>
      <c r="J170" s="14" t="n"/>
      <c r="K170" s="17" t="n">
        <v>-300</v>
      </c>
      <c r="L170" s="18">
        <f>IF($K170="","",IF($E170="Production",$K170-N($AD170),$K170))</f>
        <v/>
      </c>
      <c r="M170" s="18">
        <f>IF($E170="Production",IF($K170="","",$K170-(N($AF170)+N($AG170))),IF($E170="Consulting",IF($K170="","",$K170-(N($AL170)+N($AM170)+N($AN170))),""))</f>
        <v/>
      </c>
      <c r="N170" s="19">
        <f>IFERROR($M170/$K170,"")</f>
        <v/>
      </c>
      <c r="O170" s="13">
        <f>IF(COUNTA($B170:$K170)=0,"",IF($C170="","No date",IF(AND($C170&gt;=Lists!$B$3,$C170&lt;Lists!$B$4),"In FY27","Outside FY27")))</f>
        <v/>
      </c>
      <c r="P170" s="13">
        <f>IF($E170&lt;&gt;"WIP","",IF($H170="","",IF(COUNTIFS($E$2:$E$20000,"&lt;&gt;WIP",$H$2:$H$20000,$H170)&gt;0,"Job already invoiced","")))</f>
        <v/>
      </c>
      <c r="Q170" s="16" t="n"/>
      <c r="R170" s="16" t="n"/>
      <c r="S170" s="15" t="n"/>
      <c r="T170" s="14" t="n"/>
      <c r="U170" s="14" t="n"/>
      <c r="V170" s="14" t="n"/>
      <c r="W170" s="14" t="n"/>
      <c r="X170" s="14" t="n"/>
      <c r="Y170" s="14" t="n"/>
      <c r="Z170" s="14" t="n"/>
      <c r="AA170" s="14" t="n"/>
      <c r="AB170" s="14" t="n"/>
      <c r="AC170" s="17" t="n"/>
      <c r="AD170" s="17" t="n"/>
      <c r="AE170" s="19">
        <f>IF($E170&lt;&gt;"Production","",IFERROR($AD170/$L170,""))</f>
        <v/>
      </c>
      <c r="AF170" s="17" t="n"/>
      <c r="AG170" s="17" t="n"/>
      <c r="AH170" s="16" t="n"/>
      <c r="AI170" s="17" t="n"/>
      <c r="AJ170" s="17" t="n"/>
      <c r="AK170" s="17" t="n"/>
      <c r="AL170" s="17" t="n"/>
      <c r="AM170" s="17" t="n"/>
      <c r="AN170" s="17" t="n"/>
    </row>
    <row r="171" ht="15" customHeight="1">
      <c r="A171" s="13">
        <f>IF(COUNTA($B171:$K171)=0,"",ROW()-1)</f>
        <v/>
      </c>
      <c r="B171" s="14" t="inlineStr">
        <is>
          <t>WIP</t>
        </is>
      </c>
      <c r="C171" s="15" t="n">
        <v>46234</v>
      </c>
      <c r="D171" s="16" t="inlineStr">
        <is>
          <t>Production</t>
        </is>
      </c>
      <c r="E171" s="13">
        <f>IF($B171="","",IF($B171="WIP","WIP",IFERROR(INDEX(Lists!$G$4:$G$10,MATCH($D171,Lists!$F$4:$F$10,0)),"Unmapped")))</f>
        <v/>
      </c>
      <c r="F171" s="16" t="n"/>
      <c r="G171" s="16" t="inlineStr">
        <is>
          <t>APA</t>
        </is>
      </c>
      <c r="H171" s="14" t="n">
        <v>26061608</v>
      </c>
      <c r="I171" s="16" t="inlineStr">
        <is>
          <t>APA Qtrly All Hands Feb 2027 Package - Tech  Event Mgmt (Revenue) INV-10521</t>
        </is>
      </c>
      <c r="J171" s="14" t="n"/>
      <c r="K171" s="17" t="n">
        <v>-690</v>
      </c>
      <c r="L171" s="18">
        <f>IF($K171="","",IF($E171="Production",$K171-N($AD171),$K171))</f>
        <v/>
      </c>
      <c r="M171" s="18">
        <f>IF($E171="Production",IF($K171="","",$K171-(N($AF171)+N($AG171))),IF($E171="Consulting",IF($K171="","",$K171-(N($AL171)+N($AM171)+N($AN171))),""))</f>
        <v/>
      </c>
      <c r="N171" s="19">
        <f>IFERROR($M171/$K171,"")</f>
        <v/>
      </c>
      <c r="O171" s="13">
        <f>IF(COUNTA($B171:$K171)=0,"",IF($C171="","No date",IF(AND($C171&gt;=Lists!$B$3,$C171&lt;Lists!$B$4),"In FY27","Outside FY27")))</f>
        <v/>
      </c>
      <c r="P171" s="13">
        <f>IF($E171&lt;&gt;"WIP","",IF($H171="","",IF(COUNTIFS($E$2:$E$20000,"&lt;&gt;WIP",$H$2:$H$20000,$H171)&gt;0,"Job already invoiced","")))</f>
        <v/>
      </c>
      <c r="Q171" s="16" t="n"/>
      <c r="R171" s="16" t="n"/>
      <c r="S171" s="15" t="n"/>
      <c r="T171" s="14" t="n"/>
      <c r="U171" s="14" t="n"/>
      <c r="V171" s="14" t="n"/>
      <c r="W171" s="14" t="n"/>
      <c r="X171" s="14" t="n"/>
      <c r="Y171" s="14" t="n"/>
      <c r="Z171" s="14" t="n"/>
      <c r="AA171" s="14" t="n"/>
      <c r="AB171" s="14" t="n"/>
      <c r="AC171" s="17" t="n"/>
      <c r="AD171" s="17" t="n"/>
      <c r="AE171" s="19">
        <f>IF($E171&lt;&gt;"Production","",IFERROR($AD171/$L171,""))</f>
        <v/>
      </c>
      <c r="AF171" s="17" t="n"/>
      <c r="AG171" s="17" t="n"/>
      <c r="AH171" s="16" t="n"/>
      <c r="AI171" s="17" t="n"/>
      <c r="AJ171" s="17" t="n"/>
      <c r="AK171" s="17" t="n"/>
      <c r="AL171" s="17" t="n"/>
      <c r="AM171" s="17" t="n"/>
      <c r="AN171" s="17" t="n"/>
    </row>
    <row r="172" ht="15" customHeight="1">
      <c r="A172" s="13">
        <f>IF(COUNTA($B172:$K172)=0,"",ROW()-1)</f>
        <v/>
      </c>
      <c r="B172" s="14" t="inlineStr">
        <is>
          <t>WIP</t>
        </is>
      </c>
      <c r="C172" s="15" t="n">
        <v>46234</v>
      </c>
      <c r="D172" s="16" t="inlineStr">
        <is>
          <t>Production</t>
        </is>
      </c>
      <c r="E172" s="13">
        <f>IF($B172="","",IF($B172="WIP","WIP",IFERROR(INDEX(Lists!$G$4:$G$10,MATCH($D172,Lists!$F$4:$F$10,0)),"Unmapped")))</f>
        <v/>
      </c>
      <c r="F172" s="16" t="n"/>
      <c r="G172" s="16" t="inlineStr">
        <is>
          <t>APA</t>
        </is>
      </c>
      <c r="H172" s="14" t="n">
        <v>26061609</v>
      </c>
      <c r="I172" s="16" t="inlineStr">
        <is>
          <t>APA Qtrly All Hands May 2027 Package - Prd Equipment Hire (Revenue) INV-10521</t>
        </is>
      </c>
      <c r="J172" s="14" t="n"/>
      <c r="K172" s="17" t="n">
        <v>-5857.6</v>
      </c>
      <c r="L172" s="18">
        <f>IF($K172="","",IF($E172="Production",$K172-N($AD172),$K172))</f>
        <v/>
      </c>
      <c r="M172" s="18">
        <f>IF($E172="Production",IF($K172="","",$K172-(N($AF172)+N($AG172))),IF($E172="Consulting",IF($K172="","",$K172-(N($AL172)+N($AM172)+N($AN172))),""))</f>
        <v/>
      </c>
      <c r="N172" s="19">
        <f>IFERROR($M172/$K172,"")</f>
        <v/>
      </c>
      <c r="O172" s="13">
        <f>IF(COUNTA($B172:$K172)=0,"",IF($C172="","No date",IF(AND($C172&gt;=Lists!$B$3,$C172&lt;Lists!$B$4),"In FY27","Outside FY27")))</f>
        <v/>
      </c>
      <c r="P172" s="13">
        <f>IF($E172&lt;&gt;"WIP","",IF($H172="","",IF(COUNTIFS($E$2:$E$20000,"&lt;&gt;WIP",$H$2:$H$20000,$H172)&gt;0,"Job already invoiced","")))</f>
        <v/>
      </c>
      <c r="Q172" s="16" t="n"/>
      <c r="R172" s="16" t="n"/>
      <c r="S172" s="15" t="n"/>
      <c r="T172" s="14" t="n"/>
      <c r="U172" s="14" t="n"/>
      <c r="V172" s="14" t="n"/>
      <c r="W172" s="14" t="n"/>
      <c r="X172" s="14" t="n"/>
      <c r="Y172" s="14" t="n"/>
      <c r="Z172" s="14" t="n"/>
      <c r="AA172" s="14" t="n"/>
      <c r="AB172" s="14" t="n"/>
      <c r="AC172" s="17" t="n"/>
      <c r="AD172" s="17" t="n"/>
      <c r="AE172" s="19">
        <f>IF($E172&lt;&gt;"Production","",IFERROR($AD172/$L172,""))</f>
        <v/>
      </c>
      <c r="AF172" s="17" t="n"/>
      <c r="AG172" s="17" t="n"/>
      <c r="AH172" s="16" t="n"/>
      <c r="AI172" s="17" t="n"/>
      <c r="AJ172" s="17" t="n"/>
      <c r="AK172" s="17" t="n"/>
      <c r="AL172" s="17" t="n"/>
      <c r="AM172" s="17" t="n"/>
      <c r="AN172" s="17" t="n"/>
    </row>
    <row r="173" ht="15" customHeight="1">
      <c r="A173" s="13">
        <f>IF(COUNTA($B173:$K173)=0,"",ROW()-1)</f>
        <v/>
      </c>
      <c r="B173" s="14" t="inlineStr">
        <is>
          <t>WIP</t>
        </is>
      </c>
      <c r="C173" s="15" t="n">
        <v>46234</v>
      </c>
      <c r="D173" s="16" t="inlineStr">
        <is>
          <t>Video</t>
        </is>
      </c>
      <c r="E173" s="13">
        <f>IF($B173="","",IF($B173="WIP","WIP",IFERROR(INDEX(Lists!$G$4:$G$10,MATCH($D173,Lists!$F$4:$F$10,0)),"Unmapped")))</f>
        <v/>
      </c>
      <c r="F173" s="16" t="n"/>
      <c r="G173" s="16" t="inlineStr">
        <is>
          <t>APA</t>
        </is>
      </c>
      <c r="H173" s="14" t="inlineStr">
        <is>
          <t>26061609V</t>
        </is>
      </c>
      <c r="I173" s="16" t="inlineStr">
        <is>
          <t>APA Qtrly All Hands May 2027 Package - Vid Equipment Hire (Revenue) INV-10521</t>
        </is>
      </c>
      <c r="J173" s="14" t="n"/>
      <c r="K173" s="17" t="n">
        <v>-592</v>
      </c>
      <c r="L173" s="18">
        <f>IF($K173="","",IF($E173="Production",$K173-N($AD173),$K173))</f>
        <v/>
      </c>
      <c r="M173" s="18">
        <f>IF($E173="Production",IF($K173="","",$K173-(N($AF173)+N($AG173))),IF($E173="Consulting",IF($K173="","",$K173-(N($AL173)+N($AM173)+N($AN173))),""))</f>
        <v/>
      </c>
      <c r="N173" s="19">
        <f>IFERROR($M173/$K173,"")</f>
        <v/>
      </c>
      <c r="O173" s="13">
        <f>IF(COUNTA($B173:$K173)=0,"",IF($C173="","No date",IF(AND($C173&gt;=Lists!$B$3,$C173&lt;Lists!$B$4),"In FY27","Outside FY27")))</f>
        <v/>
      </c>
      <c r="P173" s="13">
        <f>IF($E173&lt;&gt;"WIP","",IF($H173="","",IF(COUNTIFS($E$2:$E$20000,"&lt;&gt;WIP",$H$2:$H$20000,$H173)&gt;0,"Job already invoiced","")))</f>
        <v/>
      </c>
      <c r="Q173" s="16" t="n"/>
      <c r="R173" s="16" t="n"/>
      <c r="S173" s="15" t="n"/>
      <c r="T173" s="14" t="n"/>
      <c r="U173" s="14" t="n"/>
      <c r="V173" s="14" t="n"/>
      <c r="W173" s="14" t="n"/>
      <c r="X173" s="14" t="n"/>
      <c r="Y173" s="14" t="n"/>
      <c r="Z173" s="14" t="n"/>
      <c r="AA173" s="14" t="n"/>
      <c r="AB173" s="14" t="n"/>
      <c r="AC173" s="17" t="n"/>
      <c r="AD173" s="17" t="n"/>
      <c r="AE173" s="19">
        <f>IF($E173&lt;&gt;"Production","",IFERROR($AD173/$L173,""))</f>
        <v/>
      </c>
      <c r="AF173" s="17" t="n"/>
      <c r="AG173" s="17" t="n"/>
      <c r="AH173" s="16" t="n"/>
      <c r="AI173" s="17" t="n"/>
      <c r="AJ173" s="17" t="n"/>
      <c r="AK173" s="17" t="n"/>
      <c r="AL173" s="17" t="n"/>
      <c r="AM173" s="17" t="n"/>
      <c r="AN173" s="17" t="n"/>
    </row>
    <row r="174" ht="15" customHeight="1">
      <c r="A174" s="13">
        <f>IF(COUNTA($B174:$K174)=0,"",ROW()-1)</f>
        <v/>
      </c>
      <c r="B174" s="14" t="inlineStr">
        <is>
          <t>WIP</t>
        </is>
      </c>
      <c r="C174" s="15" t="n">
        <v>46234</v>
      </c>
      <c r="D174" s="16" t="inlineStr">
        <is>
          <t>Production</t>
        </is>
      </c>
      <c r="E174" s="13">
        <f>IF($B174="","",IF($B174="WIP","WIP",IFERROR(INDEX(Lists!$G$4:$G$10,MATCH($D174,Lists!$F$4:$F$10,0)),"Unmapped")))</f>
        <v/>
      </c>
      <c r="F174" s="16" t="n"/>
      <c r="G174" s="16" t="inlineStr">
        <is>
          <t>APA</t>
        </is>
      </c>
      <c r="H174" s="14" t="n">
        <v>26061609</v>
      </c>
      <c r="I174" s="16" t="inlineStr">
        <is>
          <t>APA Qtrly All Hands May 2027 Package - Prd Labour (Revenue) INV-10521</t>
        </is>
      </c>
      <c r="J174" s="14" t="n"/>
      <c r="K174" s="17" t="n">
        <v>-4995</v>
      </c>
      <c r="L174" s="18">
        <f>IF($K174="","",IF($E174="Production",$K174-N($AD174),$K174))</f>
        <v/>
      </c>
      <c r="M174" s="18">
        <f>IF($E174="Production",IF($K174="","",$K174-(N($AF174)+N($AG174))),IF($E174="Consulting",IF($K174="","",$K174-(N($AL174)+N($AM174)+N($AN174))),""))</f>
        <v/>
      </c>
      <c r="N174" s="19">
        <f>IFERROR($M174/$K174,"")</f>
        <v/>
      </c>
      <c r="O174" s="13">
        <f>IF(COUNTA($B174:$K174)=0,"",IF($C174="","No date",IF(AND($C174&gt;=Lists!$B$3,$C174&lt;Lists!$B$4),"In FY27","Outside FY27")))</f>
        <v/>
      </c>
      <c r="P174" s="13">
        <f>IF($E174&lt;&gt;"WIP","",IF($H174="","",IF(COUNTIFS($E$2:$E$20000,"&lt;&gt;WIP",$H$2:$H$20000,$H174)&gt;0,"Job already invoiced","")))</f>
        <v/>
      </c>
      <c r="Q174" s="16" t="n"/>
      <c r="R174" s="16" t="n"/>
      <c r="S174" s="15" t="n"/>
      <c r="T174" s="14" t="n"/>
      <c r="U174" s="14" t="n"/>
      <c r="V174" s="14" t="n"/>
      <c r="W174" s="14" t="n"/>
      <c r="X174" s="14" t="n"/>
      <c r="Y174" s="14" t="n"/>
      <c r="Z174" s="14" t="n"/>
      <c r="AA174" s="14" t="n"/>
      <c r="AB174" s="14" t="n"/>
      <c r="AC174" s="17" t="n"/>
      <c r="AD174" s="17" t="n"/>
      <c r="AE174" s="19">
        <f>IF($E174&lt;&gt;"Production","",IFERROR($AD174/$L174,""))</f>
        <v/>
      </c>
      <c r="AF174" s="17" t="n"/>
      <c r="AG174" s="17" t="n"/>
      <c r="AH174" s="16" t="n"/>
      <c r="AI174" s="17" t="n"/>
      <c r="AJ174" s="17" t="n"/>
      <c r="AK174" s="17" t="n"/>
      <c r="AL174" s="17" t="n"/>
      <c r="AM174" s="17" t="n"/>
      <c r="AN174" s="17" t="n"/>
    </row>
    <row r="175" ht="15" customHeight="1">
      <c r="A175" s="13">
        <f>IF(COUNTA($B175:$K175)=0,"",ROW()-1)</f>
        <v/>
      </c>
      <c r="B175" s="14" t="inlineStr">
        <is>
          <t>WIP</t>
        </is>
      </c>
      <c r="C175" s="15" t="n">
        <v>46234</v>
      </c>
      <c r="D175" s="16" t="inlineStr">
        <is>
          <t>Video</t>
        </is>
      </c>
      <c r="E175" s="13">
        <f>IF($B175="","",IF($B175="WIP","WIP",IFERROR(INDEX(Lists!$G$4:$G$10,MATCH($D175,Lists!$F$4:$F$10,0)),"Unmapped")))</f>
        <v/>
      </c>
      <c r="F175" s="16" t="n"/>
      <c r="G175" s="16" t="inlineStr">
        <is>
          <t>APA</t>
        </is>
      </c>
      <c r="H175" s="14" t="inlineStr">
        <is>
          <t>26061609V</t>
        </is>
      </c>
      <c r="I175" s="16" t="inlineStr">
        <is>
          <t>APA Qtrly All Hands May 2027 Package - Vid Labour (Revenue) INV-10521</t>
        </is>
      </c>
      <c r="J175" s="14" t="n"/>
      <c r="K175" s="17" t="n">
        <v>-485</v>
      </c>
      <c r="L175" s="18">
        <f>IF($K175="","",IF($E175="Production",$K175-N($AD175),$K175))</f>
        <v/>
      </c>
      <c r="M175" s="18">
        <f>IF($E175="Production",IF($K175="","",$K175-(N($AF175)+N($AG175))),IF($E175="Consulting",IF($K175="","",$K175-(N($AL175)+N($AM175)+N($AN175))),""))</f>
        <v/>
      </c>
      <c r="N175" s="19">
        <f>IFERROR($M175/$K175,"")</f>
        <v/>
      </c>
      <c r="O175" s="13">
        <f>IF(COUNTA($B175:$K175)=0,"",IF($C175="","No date",IF(AND($C175&gt;=Lists!$B$3,$C175&lt;Lists!$B$4),"In FY27","Outside FY27")))</f>
        <v/>
      </c>
      <c r="P175" s="13">
        <f>IF($E175&lt;&gt;"WIP","",IF($H175="","",IF(COUNTIFS($E$2:$E$20000,"&lt;&gt;WIP",$H$2:$H$20000,$H175)&gt;0,"Job already invoiced","")))</f>
        <v/>
      </c>
      <c r="Q175" s="16" t="n"/>
      <c r="R175" s="16" t="n"/>
      <c r="S175" s="15" t="n"/>
      <c r="T175" s="14" t="n"/>
      <c r="U175" s="14" t="n"/>
      <c r="V175" s="14" t="n"/>
      <c r="W175" s="14" t="n"/>
      <c r="X175" s="14" t="n"/>
      <c r="Y175" s="14" t="n"/>
      <c r="Z175" s="14" t="n"/>
      <c r="AA175" s="14" t="n"/>
      <c r="AB175" s="14" t="n"/>
      <c r="AC175" s="17" t="n"/>
      <c r="AD175" s="17" t="n"/>
      <c r="AE175" s="19">
        <f>IF($E175&lt;&gt;"Production","",IFERROR($AD175/$L175,""))</f>
        <v/>
      </c>
      <c r="AF175" s="17" t="n"/>
      <c r="AG175" s="17" t="n"/>
      <c r="AH175" s="16" t="n"/>
      <c r="AI175" s="17" t="n"/>
      <c r="AJ175" s="17" t="n"/>
      <c r="AK175" s="17" t="n"/>
      <c r="AL175" s="17" t="n"/>
      <c r="AM175" s="17" t="n"/>
      <c r="AN175" s="17" t="n"/>
    </row>
    <row r="176" ht="15" customHeight="1">
      <c r="A176" s="13">
        <f>IF(COUNTA($B176:$K176)=0,"",ROW()-1)</f>
        <v/>
      </c>
      <c r="B176" s="14" t="inlineStr">
        <is>
          <t>WIP</t>
        </is>
      </c>
      <c r="C176" s="15" t="n">
        <v>46234</v>
      </c>
      <c r="D176" s="16" t="inlineStr">
        <is>
          <t>Production</t>
        </is>
      </c>
      <c r="E176" s="13">
        <f>IF($B176="","",IF($B176="WIP","WIP",IFERROR(INDEX(Lists!$G$4:$G$10,MATCH($D176,Lists!$F$4:$F$10,0)),"Unmapped")))</f>
        <v/>
      </c>
      <c r="F176" s="16" t="n"/>
      <c r="G176" s="16" t="inlineStr">
        <is>
          <t>APA</t>
        </is>
      </c>
      <c r="H176" s="14" t="n">
        <v>26061609</v>
      </c>
      <c r="I176" s="16" t="inlineStr">
        <is>
          <t>APA Qtrly All Hands May 2027 Package - Conf Call (Revenue) INV-10521</t>
        </is>
      </c>
      <c r="J176" s="14" t="n"/>
      <c r="K176" s="17" t="n">
        <v>-750</v>
      </c>
      <c r="L176" s="18">
        <f>IF($K176="","",IF($E176="Production",$K176-N($AD176),$K176))</f>
        <v/>
      </c>
      <c r="M176" s="18">
        <f>IF($E176="Production",IF($K176="","",$K176-(N($AF176)+N($AG176))),IF($E176="Consulting",IF($K176="","",$K176-(N($AL176)+N($AM176)+N($AN176))),""))</f>
        <v/>
      </c>
      <c r="N176" s="19">
        <f>IFERROR($M176/$K176,"")</f>
        <v/>
      </c>
      <c r="O176" s="13">
        <f>IF(COUNTA($B176:$K176)=0,"",IF($C176="","No date",IF(AND($C176&gt;=Lists!$B$3,$C176&lt;Lists!$B$4),"In FY27","Outside FY27")))</f>
        <v/>
      </c>
      <c r="P176" s="13">
        <f>IF($E176&lt;&gt;"WIP","",IF($H176="","",IF(COUNTIFS($E$2:$E$20000,"&lt;&gt;WIP",$H$2:$H$20000,$H176)&gt;0,"Job already invoiced","")))</f>
        <v/>
      </c>
      <c r="Q176" s="16" t="n"/>
      <c r="R176" s="16" t="n"/>
      <c r="S176" s="15" t="n"/>
      <c r="T176" s="14" t="n"/>
      <c r="U176" s="14" t="n"/>
      <c r="V176" s="14" t="n"/>
      <c r="W176" s="14" t="n"/>
      <c r="X176" s="14" t="n"/>
      <c r="Y176" s="14" t="n"/>
      <c r="Z176" s="14" t="n"/>
      <c r="AA176" s="14" t="n"/>
      <c r="AB176" s="14" t="n"/>
      <c r="AC176" s="17" t="n"/>
      <c r="AD176" s="17" t="n"/>
      <c r="AE176" s="19">
        <f>IF($E176&lt;&gt;"Production","",IFERROR($AD176/$L176,""))</f>
        <v/>
      </c>
      <c r="AF176" s="17" t="n"/>
      <c r="AG176" s="17" t="n"/>
      <c r="AH176" s="16" t="n"/>
      <c r="AI176" s="17" t="n"/>
      <c r="AJ176" s="17" t="n"/>
      <c r="AK176" s="17" t="n"/>
      <c r="AL176" s="17" t="n"/>
      <c r="AM176" s="17" t="n"/>
      <c r="AN176" s="17" t="n"/>
    </row>
    <row r="177" ht="15" customHeight="1">
      <c r="A177" s="13">
        <f>IF(COUNTA($B177:$K177)=0,"",ROW()-1)</f>
        <v/>
      </c>
      <c r="B177" s="14" t="inlineStr">
        <is>
          <t>WIP</t>
        </is>
      </c>
      <c r="C177" s="15" t="n">
        <v>46234</v>
      </c>
      <c r="D177" s="16" t="inlineStr">
        <is>
          <t>Production</t>
        </is>
      </c>
      <c r="E177" s="13">
        <f>IF($B177="","",IF($B177="WIP","WIP",IFERROR(INDEX(Lists!$G$4:$G$10,MATCH($D177,Lists!$F$4:$F$10,0)),"Unmapped")))</f>
        <v/>
      </c>
      <c r="F177" s="16" t="n"/>
      <c r="G177" s="16" t="inlineStr">
        <is>
          <t>APA</t>
        </is>
      </c>
      <c r="H177" s="14" t="n">
        <v>26061609</v>
      </c>
      <c r="I177" s="16" t="inlineStr">
        <is>
          <t>APA Qtrly All Hands May 2027 Package - Transport (Revenue) INV-10521</t>
        </is>
      </c>
      <c r="J177" s="14" t="n"/>
      <c r="K177" s="17" t="n">
        <v>-300</v>
      </c>
      <c r="L177" s="18">
        <f>IF($K177="","",IF($E177="Production",$K177-N($AD177),$K177))</f>
        <v/>
      </c>
      <c r="M177" s="18">
        <f>IF($E177="Production",IF($K177="","",$K177-(N($AF177)+N($AG177))),IF($E177="Consulting",IF($K177="","",$K177-(N($AL177)+N($AM177)+N($AN177))),""))</f>
        <v/>
      </c>
      <c r="N177" s="19">
        <f>IFERROR($M177/$K177,"")</f>
        <v/>
      </c>
      <c r="O177" s="13">
        <f>IF(COUNTA($B177:$K177)=0,"",IF($C177="","No date",IF(AND($C177&gt;=Lists!$B$3,$C177&lt;Lists!$B$4),"In FY27","Outside FY27")))</f>
        <v/>
      </c>
      <c r="P177" s="13">
        <f>IF($E177&lt;&gt;"WIP","",IF($H177="","",IF(COUNTIFS($E$2:$E$20000,"&lt;&gt;WIP",$H$2:$H$20000,$H177)&gt;0,"Job already invoiced","")))</f>
        <v/>
      </c>
      <c r="Q177" s="16" t="n"/>
      <c r="R177" s="16" t="n"/>
      <c r="S177" s="15" t="n"/>
      <c r="T177" s="14" t="n"/>
      <c r="U177" s="14" t="n"/>
      <c r="V177" s="14" t="n"/>
      <c r="W177" s="14" t="n"/>
      <c r="X177" s="14" t="n"/>
      <c r="Y177" s="14" t="n"/>
      <c r="Z177" s="14" t="n"/>
      <c r="AA177" s="14" t="n"/>
      <c r="AB177" s="14" t="n"/>
      <c r="AC177" s="17" t="n"/>
      <c r="AD177" s="17" t="n"/>
      <c r="AE177" s="19">
        <f>IF($E177&lt;&gt;"Production","",IFERROR($AD177/$L177,""))</f>
        <v/>
      </c>
      <c r="AF177" s="17" t="n"/>
      <c r="AG177" s="17" t="n"/>
      <c r="AH177" s="16" t="n"/>
      <c r="AI177" s="17" t="n"/>
      <c r="AJ177" s="17" t="n"/>
      <c r="AK177" s="17" t="n"/>
      <c r="AL177" s="17" t="n"/>
      <c r="AM177" s="17" t="n"/>
      <c r="AN177" s="17" t="n"/>
    </row>
    <row r="178" ht="15" customHeight="1">
      <c r="A178" s="13">
        <f>IF(COUNTA($B178:$K178)=0,"",ROW()-1)</f>
        <v/>
      </c>
      <c r="B178" s="14" t="inlineStr">
        <is>
          <t>WIP</t>
        </is>
      </c>
      <c r="C178" s="15" t="n">
        <v>46234</v>
      </c>
      <c r="D178" s="16" t="inlineStr">
        <is>
          <t>Production</t>
        </is>
      </c>
      <c r="E178" s="13">
        <f>IF($B178="","",IF($B178="WIP","WIP",IFERROR(INDEX(Lists!$G$4:$G$10,MATCH($D178,Lists!$F$4:$F$10,0)),"Unmapped")))</f>
        <v/>
      </c>
      <c r="F178" s="16" t="n"/>
      <c r="G178" s="16" t="inlineStr">
        <is>
          <t>APA</t>
        </is>
      </c>
      <c r="H178" s="14" t="n">
        <v>26061609</v>
      </c>
      <c r="I178" s="16" t="inlineStr">
        <is>
          <t>APA Qtrly All Hands May 2027 Package - Tech  Event Mgmt (Revenue) INV-10521</t>
        </is>
      </c>
      <c r="J178" s="14" t="n"/>
      <c r="K178" s="17" t="n">
        <v>-690</v>
      </c>
      <c r="L178" s="18">
        <f>IF($K178="","",IF($E178="Production",$K178-N($AD178),$K178))</f>
        <v/>
      </c>
      <c r="M178" s="18">
        <f>IF($E178="Production",IF($K178="","",$K178-(N($AF178)+N($AG178))),IF($E178="Consulting",IF($K178="","",$K178-(N($AL178)+N($AM178)+N($AN178))),""))</f>
        <v/>
      </c>
      <c r="N178" s="19">
        <f>IFERROR($M178/$K178,"")</f>
        <v/>
      </c>
      <c r="O178" s="13">
        <f>IF(COUNTA($B178:$K178)=0,"",IF($C178="","No date",IF(AND($C178&gt;=Lists!$B$3,$C178&lt;Lists!$B$4),"In FY27","Outside FY27")))</f>
        <v/>
      </c>
      <c r="P178" s="13">
        <f>IF($E178&lt;&gt;"WIP","",IF($H178="","",IF(COUNTIFS($E$2:$E$20000,"&lt;&gt;WIP",$H$2:$H$20000,$H178)&gt;0,"Job already invoiced","")))</f>
        <v/>
      </c>
      <c r="Q178" s="16" t="n"/>
      <c r="R178" s="16" t="n"/>
      <c r="S178" s="15" t="n"/>
      <c r="T178" s="14" t="n"/>
      <c r="U178" s="14" t="n"/>
      <c r="V178" s="14" t="n"/>
      <c r="W178" s="14" t="n"/>
      <c r="X178" s="14" t="n"/>
      <c r="Y178" s="14" t="n"/>
      <c r="Z178" s="14" t="n"/>
      <c r="AA178" s="14" t="n"/>
      <c r="AB178" s="14" t="n"/>
      <c r="AC178" s="17" t="n"/>
      <c r="AD178" s="17" t="n"/>
      <c r="AE178" s="19">
        <f>IF($E178&lt;&gt;"Production","",IFERROR($AD178/$L178,""))</f>
        <v/>
      </c>
      <c r="AF178" s="17" t="n"/>
      <c r="AG178" s="17" t="n"/>
      <c r="AH178" s="16" t="n"/>
      <c r="AI178" s="17" t="n"/>
      <c r="AJ178" s="17" t="n"/>
      <c r="AK178" s="17" t="n"/>
      <c r="AL178" s="17" t="n"/>
      <c r="AM178" s="17" t="n"/>
      <c r="AN178" s="17" t="n"/>
    </row>
    <row r="179" ht="15" customHeight="1">
      <c r="A179" s="13">
        <f>IF(COUNTA($B179:$K179)=0,"",ROW()-1)</f>
        <v/>
      </c>
      <c r="B179" s="14" t="inlineStr">
        <is>
          <t>WIP</t>
        </is>
      </c>
      <c r="C179" s="15" t="n">
        <v>46234</v>
      </c>
      <c r="D179" s="16" t="inlineStr">
        <is>
          <t>Production</t>
        </is>
      </c>
      <c r="E179" s="13">
        <f>IF($B179="","",IF($B179="WIP","WIP",IFERROR(INDEX(Lists!$G$4:$G$10,MATCH($D179,Lists!$F$4:$F$10,0)),"Unmapped")))</f>
        <v/>
      </c>
      <c r="F179" s="16" t="n"/>
      <c r="G179" s="16" t="inlineStr">
        <is>
          <t>APA</t>
        </is>
      </c>
      <c r="H179" s="14" t="n">
        <v>26061609</v>
      </c>
      <c r="I179" s="16" t="inlineStr">
        <is>
          <t>APA Qtrly All Hands May 2027 Package - Travel (Revenue) INV-10521</t>
        </is>
      </c>
      <c r="J179" s="14" t="n"/>
      <c r="K179" s="17" t="n">
        <v>-1200</v>
      </c>
      <c r="L179" s="18">
        <f>IF($K179="","",IF($E179="Production",$K179-N($AD179),$K179))</f>
        <v/>
      </c>
      <c r="M179" s="18">
        <f>IF($E179="Production",IF($K179="","",$K179-(N($AF179)+N($AG179))),IF($E179="Consulting",IF($K179="","",$K179-(N($AL179)+N($AM179)+N($AN179))),""))</f>
        <v/>
      </c>
      <c r="N179" s="19">
        <f>IFERROR($M179/$K179,"")</f>
        <v/>
      </c>
      <c r="O179" s="13">
        <f>IF(COUNTA($B179:$K179)=0,"",IF($C179="","No date",IF(AND($C179&gt;=Lists!$B$3,$C179&lt;Lists!$B$4),"In FY27","Outside FY27")))</f>
        <v/>
      </c>
      <c r="P179" s="13">
        <f>IF($E179&lt;&gt;"WIP","",IF($H179="","",IF(COUNTIFS($E$2:$E$20000,"&lt;&gt;WIP",$H$2:$H$20000,$H179)&gt;0,"Job already invoiced","")))</f>
        <v/>
      </c>
      <c r="Q179" s="16" t="n"/>
      <c r="R179" s="16" t="n"/>
      <c r="S179" s="15" t="n"/>
      <c r="T179" s="14" t="n"/>
      <c r="U179" s="14" t="n"/>
      <c r="V179" s="14" t="n"/>
      <c r="W179" s="14" t="n"/>
      <c r="X179" s="14" t="n"/>
      <c r="Y179" s="14" t="n"/>
      <c r="Z179" s="14" t="n"/>
      <c r="AA179" s="14" t="n"/>
      <c r="AB179" s="14" t="n"/>
      <c r="AC179" s="17" t="n"/>
      <c r="AD179" s="17" t="n"/>
      <c r="AE179" s="19">
        <f>IF($E179&lt;&gt;"Production","",IFERROR($AD179/$L179,""))</f>
        <v/>
      </c>
      <c r="AF179" s="17" t="n"/>
      <c r="AG179" s="17" t="n"/>
      <c r="AH179" s="16" t="n"/>
      <c r="AI179" s="17" t="n"/>
      <c r="AJ179" s="17" t="n"/>
      <c r="AK179" s="17" t="n"/>
      <c r="AL179" s="17" t="n"/>
      <c r="AM179" s="17" t="n"/>
      <c r="AN179" s="17" t="n"/>
    </row>
    <row r="180" ht="15" customHeight="1">
      <c r="A180" s="13">
        <f>IF(COUNTA($B180:$K180)=0,"",ROW()-1)</f>
        <v/>
      </c>
      <c r="B180" s="14" t="inlineStr">
        <is>
          <t>WIP</t>
        </is>
      </c>
      <c r="C180" s="15" t="n">
        <v>46234</v>
      </c>
      <c r="D180" s="16" t="inlineStr">
        <is>
          <t>Production</t>
        </is>
      </c>
      <c r="E180" s="13">
        <f>IF($B180="","",IF($B180="WIP","WIP",IFERROR(INDEX(Lists!$G$4:$G$10,MATCH($D180,Lists!$F$4:$F$10,0)),"Unmapped")))</f>
        <v/>
      </c>
      <c r="F180" s="16" t="n"/>
      <c r="G180" s="16" t="inlineStr">
        <is>
          <t>Cochlear</t>
        </is>
      </c>
      <c r="H180" s="14" t="n">
        <v>2603104</v>
      </c>
      <c r="I180" s="16" t="inlineStr">
        <is>
          <t>Cochlear FY26 Results 18.8.26 [PRD] pre-prod work</t>
        </is>
      </c>
      <c r="J180" s="14" t="n"/>
      <c r="K180" s="17" t="n">
        <v>172.5</v>
      </c>
      <c r="L180" s="18">
        <f>IF($K180="","",IF($E180="Production",$K180-N($AD180),$K180))</f>
        <v/>
      </c>
      <c r="M180" s="18">
        <f>IF($E180="Production",IF($K180="","",$K180-(N($AF180)+N($AG180))),IF($E180="Consulting",IF($K180="","",$K180-(N($AL180)+N($AM180)+N($AN180))),""))</f>
        <v/>
      </c>
      <c r="N180" s="19">
        <f>IFERROR($M180/$K180,"")</f>
        <v/>
      </c>
      <c r="O180" s="13">
        <f>IF(COUNTA($B180:$K180)=0,"",IF($C180="","No date",IF(AND($C180&gt;=Lists!$B$3,$C180&lt;Lists!$B$4),"In FY27","Outside FY27")))</f>
        <v/>
      </c>
      <c r="P180" s="13">
        <f>IF($E180&lt;&gt;"WIP","",IF($H180="","",IF(COUNTIFS($E$2:$E$20000,"&lt;&gt;WIP",$H$2:$H$20000,$H180)&gt;0,"Job already invoiced","")))</f>
        <v/>
      </c>
      <c r="Q180" s="16" t="n"/>
      <c r="R180" s="16" t="n"/>
      <c r="S180" s="15" t="n"/>
      <c r="T180" s="14" t="n"/>
      <c r="U180" s="14" t="n"/>
      <c r="V180" s="14" t="n"/>
      <c r="W180" s="14" t="n"/>
      <c r="X180" s="14" t="n"/>
      <c r="Y180" s="14" t="n"/>
      <c r="Z180" s="14" t="n"/>
      <c r="AA180" s="14" t="n"/>
      <c r="AB180" s="14" t="n"/>
      <c r="AC180" s="17" t="n"/>
      <c r="AD180" s="17" t="n"/>
      <c r="AE180" s="19">
        <f>IF($E180&lt;&gt;"Production","",IFERROR($AD180/$L180,""))</f>
        <v/>
      </c>
      <c r="AF180" s="17" t="n"/>
      <c r="AG180" s="17" t="n"/>
      <c r="AH180" s="16" t="n"/>
      <c r="AI180" s="17" t="n"/>
      <c r="AJ180" s="17" t="n"/>
      <c r="AK180" s="17" t="n"/>
      <c r="AL180" s="17" t="n"/>
      <c r="AM180" s="17" t="n"/>
      <c r="AN180" s="17" t="n"/>
    </row>
    <row r="181" ht="15" customHeight="1">
      <c r="A181" s="13">
        <f>IF(COUNTA($B181:$K181)=0,"",ROW()-1)</f>
        <v/>
      </c>
      <c r="B181" s="14" t="inlineStr">
        <is>
          <t>WIP</t>
        </is>
      </c>
      <c r="C181" s="15" t="n">
        <v>46234</v>
      </c>
      <c r="D181" s="16" t="inlineStr">
        <is>
          <t>Production</t>
        </is>
      </c>
      <c r="E181" s="13">
        <f>IF($B181="","",IF($B181="WIP","WIP",IFERROR(INDEX(Lists!$G$4:$G$10,MATCH($D181,Lists!$F$4:$F$10,0)),"Unmapped")))</f>
        <v/>
      </c>
      <c r="F181" s="16" t="n"/>
      <c r="G181" s="16" t="inlineStr">
        <is>
          <t>RSNSW</t>
        </is>
      </c>
      <c r="H181" s="14" t="n">
        <v>2512804</v>
      </c>
      <c r="I181" s="16" t="inlineStr">
        <is>
          <t>RSNSW Ordinary General Meeting 5.8.26 [PRD] pre-prod work</t>
        </is>
      </c>
      <c r="J181" s="14" t="n"/>
      <c r="K181" s="17" t="n">
        <v>115</v>
      </c>
      <c r="L181" s="18">
        <f>IF($K181="","",IF($E181="Production",$K181-N($AD181),$K181))</f>
        <v/>
      </c>
      <c r="M181" s="18">
        <f>IF($E181="Production",IF($K181="","",$K181-(N($AF181)+N($AG181))),IF($E181="Consulting",IF($K181="","",$K181-(N($AL181)+N($AM181)+N($AN181))),""))</f>
        <v/>
      </c>
      <c r="N181" s="19">
        <f>IFERROR($M181/$K181,"")</f>
        <v/>
      </c>
      <c r="O181" s="13">
        <f>IF(COUNTA($B181:$K181)=0,"",IF($C181="","No date",IF(AND($C181&gt;=Lists!$B$3,$C181&lt;Lists!$B$4),"In FY27","Outside FY27")))</f>
        <v/>
      </c>
      <c r="P181" s="13">
        <f>IF($E181&lt;&gt;"WIP","",IF($H181="","",IF(COUNTIFS($E$2:$E$20000,"&lt;&gt;WIP",$H$2:$H$20000,$H181)&gt;0,"Job already invoiced","")))</f>
        <v/>
      </c>
      <c r="Q181" s="16" t="n"/>
      <c r="R181" s="16" t="n"/>
      <c r="S181" s="15" t="n"/>
      <c r="T181" s="14" t="n"/>
      <c r="U181" s="14" t="n"/>
      <c r="V181" s="14" t="n"/>
      <c r="W181" s="14" t="n"/>
      <c r="X181" s="14" t="n"/>
      <c r="Y181" s="14" t="n"/>
      <c r="Z181" s="14" t="n"/>
      <c r="AA181" s="14" t="n"/>
      <c r="AB181" s="14" t="n"/>
      <c r="AC181" s="17" t="n"/>
      <c r="AD181" s="17" t="n"/>
      <c r="AE181" s="19">
        <f>IF($E181&lt;&gt;"Production","",IFERROR($AD181/$L181,""))</f>
        <v/>
      </c>
      <c r="AF181" s="17" t="n"/>
      <c r="AG181" s="17" t="n"/>
      <c r="AH181" s="16" t="n"/>
      <c r="AI181" s="17" t="n"/>
      <c r="AJ181" s="17" t="n"/>
      <c r="AK181" s="17" t="n"/>
      <c r="AL181" s="17" t="n"/>
      <c r="AM181" s="17" t="n"/>
      <c r="AN181" s="17" t="n"/>
    </row>
    <row r="182" ht="15" customHeight="1">
      <c r="A182" s="13">
        <f>IF(COUNTA($B182:$K182)=0,"",ROW()-1)</f>
        <v/>
      </c>
      <c r="B182" s="14" t="inlineStr">
        <is>
          <t>WIP</t>
        </is>
      </c>
      <c r="C182" s="15" t="n">
        <v>46234</v>
      </c>
      <c r="D182" s="16" t="inlineStr">
        <is>
          <t>Production</t>
        </is>
      </c>
      <c r="E182" s="13">
        <f>IF($B182="","",IF($B182="WIP","WIP",IFERROR(INDEX(Lists!$G$4:$G$10,MATCH($D182,Lists!$F$4:$F$10,0)),"Unmapped")))</f>
        <v/>
      </c>
      <c r="F182" s="16" t="n"/>
      <c r="G182" s="16" t="inlineStr">
        <is>
          <t>APA</t>
        </is>
      </c>
      <c r="H182" s="14" t="n">
        <v>26061108</v>
      </c>
      <c r="I182" s="16" t="inlineStr">
        <is>
          <t>APA - Qtly All Hands FYR26 - 20.8.26 [PRD] pre-prod work</t>
        </is>
      </c>
      <c r="J182" s="14" t="n"/>
      <c r="K182" s="17" t="n">
        <v>172.5</v>
      </c>
      <c r="L182" s="18">
        <f>IF($K182="","",IF($E182="Production",$K182-N($AD182),$K182))</f>
        <v/>
      </c>
      <c r="M182" s="18">
        <f>IF($E182="Production",IF($K182="","",$K182-(N($AF182)+N($AG182))),IF($E182="Consulting",IF($K182="","",$K182-(N($AL182)+N($AM182)+N($AN182))),""))</f>
        <v/>
      </c>
      <c r="N182" s="19">
        <f>IFERROR($M182/$K182,"")</f>
        <v/>
      </c>
      <c r="O182" s="13">
        <f>IF(COUNTA($B182:$K182)=0,"",IF($C182="","No date",IF(AND($C182&gt;=Lists!$B$3,$C182&lt;Lists!$B$4),"In FY27","Outside FY27")))</f>
        <v/>
      </c>
      <c r="P182" s="13">
        <f>IF($E182&lt;&gt;"WIP","",IF($H182="","",IF(COUNTIFS($E$2:$E$20000,"&lt;&gt;WIP",$H$2:$H$20000,$H182)&gt;0,"Job already invoiced","")))</f>
        <v/>
      </c>
      <c r="Q182" s="16" t="n"/>
      <c r="R182" s="16" t="n"/>
      <c r="S182" s="15" t="n"/>
      <c r="T182" s="14" t="n"/>
      <c r="U182" s="14" t="n"/>
      <c r="V182" s="14" t="n"/>
      <c r="W182" s="14" t="n"/>
      <c r="X182" s="14" t="n"/>
      <c r="Y182" s="14" t="n"/>
      <c r="Z182" s="14" t="n"/>
      <c r="AA182" s="14" t="n"/>
      <c r="AB182" s="14" t="n"/>
      <c r="AC182" s="17" t="n"/>
      <c r="AD182" s="17" t="n"/>
      <c r="AE182" s="19">
        <f>IF($E182&lt;&gt;"Production","",IFERROR($AD182/$L182,""))</f>
        <v/>
      </c>
      <c r="AF182" s="17" t="n"/>
      <c r="AG182" s="17" t="n"/>
      <c r="AH182" s="16" t="n"/>
      <c r="AI182" s="17" t="n"/>
      <c r="AJ182" s="17" t="n"/>
      <c r="AK182" s="17" t="n"/>
      <c r="AL182" s="17" t="n"/>
      <c r="AM182" s="17" t="n"/>
      <c r="AN182" s="17" t="n"/>
    </row>
  </sheetData>
  <dataValidations count="4">
    <dataValidation sqref="B2:B182" showDropDown="0" showInputMessage="1" showErrorMessage="1" allowBlank="1" error="Pick a value from the list on the Lists tab." type="list">
      <formula1>Lists!$D$4:$D$5</formula1>
    </dataValidation>
    <dataValidation sqref="D2:D182" showDropDown="0" showInputMessage="1" showErrorMessage="1" allowBlank="1" error="Pick a value from the list on the Lists tab." type="list">
      <formula1>Lists!$F$4:$F$10</formula1>
    </dataValidation>
    <dataValidation sqref="F2:F182" showDropDown="0" showInputMessage="1" showErrorMessage="1" allowBlank="1" error="Pick a value from the list on the Lists tab." type="list">
      <formula1>Lists!$I$4:$I$7</formula1>
    </dataValidation>
    <dataValidation sqref="V2:W182" showDropDown="0" showInputMessage="1" showErrorMessage="1" allowBlank="1" error="Pick a value from the list on the Lists tab." type="list">
      <formula1>Lists!$K$4:$K$5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3E5066"/>
    <outlinePr summaryBelow="1" summaryRight="1"/>
    <pageSetUpPr/>
  </sheetPr>
  <dimension ref="A1:H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5" customWidth="1" min="7" max="7"/>
    <col width="24" customWidth="1" min="8" max="8"/>
  </cols>
  <sheetData>
    <row r="1">
      <c r="A1" s="20" t="inlineStr">
        <is>
          <t>FY 2026-27 — Monthly revenue by report line</t>
        </is>
      </c>
    </row>
    <row r="2" ht="30" customHeight="1">
      <c r="A2" s="21" t="inlineStr">
        <is>
          <t>Month</t>
        </is>
      </c>
      <c r="B2" s="21" t="inlineStr">
        <is>
          <t>Support</t>
        </is>
      </c>
      <c r="C2" s="21" t="inlineStr">
        <is>
          <t>Production</t>
        </is>
      </c>
      <c r="D2" s="21" t="inlineStr">
        <is>
          <t>Consulting</t>
        </is>
      </c>
      <c r="E2" s="21" t="inlineStr">
        <is>
          <t>WIP</t>
        </is>
      </c>
      <c r="F2" s="21" t="inlineStr">
        <is>
          <t>Total Revenue</t>
        </is>
      </c>
      <c r="G2" s="21" t="inlineStr">
        <is>
          <t>P&amp;L Total</t>
        </is>
      </c>
      <c r="H2" s="21" t="inlineStr">
        <is>
          <t>Variance</t>
        </is>
      </c>
    </row>
    <row r="3">
      <c r="A3" s="22" t="n">
        <v>46204</v>
      </c>
      <c r="B3" s="23">
        <f>SUMIFS(Data!$L$2:$L$20000,Data!$E$2:$E$20000,B$2,Data!$C$2:$C$20000,"&gt;="&amp;$A3,Data!$C$2:$C$20000,"&lt;"&amp;EDATE($A3,1))</f>
        <v/>
      </c>
      <c r="C3" s="23">
        <f>SUMIFS(Data!$L$2:$L$20000,Data!$E$2:$E$20000,C$2,Data!$C$2:$C$20000,"&gt;="&amp;$A3,Data!$C$2:$C$20000,"&lt;"&amp;EDATE($A3,1))</f>
        <v/>
      </c>
      <c r="D3" s="23">
        <f>SUMIFS(Data!$L$2:$L$20000,Data!$E$2:$E$20000,D$2,Data!$C$2:$C$20000,"&gt;="&amp;$A3,Data!$C$2:$C$20000,"&lt;"&amp;EDATE($A3,1))</f>
        <v/>
      </c>
      <c r="E3" s="23">
        <f>SUMIFS(Data!$L$2:$L$20000,Data!$E$2:$E$20000,E$2,Data!$C$2:$C$20000,"&gt;="&amp;$A3,Data!$C$2:$C$20000,"&lt;"&amp;EDATE($A3,1))</f>
        <v/>
      </c>
      <c r="F3" s="23">
        <f>SUM($B3:$E3)</f>
        <v/>
      </c>
      <c r="G3" s="24" t="n"/>
      <c r="H3" s="14">
        <f>IF($G3="","",IF(ABS($F3-$G3)&lt;0.99,"Reconciled",$F3-$G3))</f>
        <v/>
      </c>
    </row>
    <row r="4">
      <c r="A4" s="22" t="n">
        <v>46235</v>
      </c>
      <c r="B4" s="23">
        <f>SUMIFS(Data!$L$2:$L$20000,Data!$E$2:$E$20000,B$2,Data!$C$2:$C$20000,"&gt;="&amp;$A4,Data!$C$2:$C$20000,"&lt;"&amp;EDATE($A4,1))</f>
        <v/>
      </c>
      <c r="C4" s="23">
        <f>SUMIFS(Data!$L$2:$L$20000,Data!$E$2:$E$20000,C$2,Data!$C$2:$C$20000,"&gt;="&amp;$A4,Data!$C$2:$C$20000,"&lt;"&amp;EDATE($A4,1))</f>
        <v/>
      </c>
      <c r="D4" s="23">
        <f>SUMIFS(Data!$L$2:$L$20000,Data!$E$2:$E$20000,D$2,Data!$C$2:$C$20000,"&gt;="&amp;$A4,Data!$C$2:$C$20000,"&lt;"&amp;EDATE($A4,1))</f>
        <v/>
      </c>
      <c r="E4" s="23">
        <f>SUMIFS(Data!$L$2:$L$20000,Data!$E$2:$E$20000,E$2,Data!$C$2:$C$20000,"&gt;="&amp;$A4,Data!$C$2:$C$20000,"&lt;"&amp;EDATE($A4,1))</f>
        <v/>
      </c>
      <c r="F4" s="23">
        <f>SUM($B4:$E4)</f>
        <v/>
      </c>
      <c r="G4" s="24" t="n"/>
      <c r="H4" s="14">
        <f>IF($G4="","",IF(ABS($F4-$G4)&lt;0.99,"Reconciled",$F4-$G4))</f>
        <v/>
      </c>
    </row>
    <row r="5">
      <c r="A5" s="22" t="n">
        <v>46266</v>
      </c>
      <c r="B5" s="23">
        <f>SUMIFS(Data!$L$2:$L$20000,Data!$E$2:$E$20000,B$2,Data!$C$2:$C$20000,"&gt;="&amp;$A5,Data!$C$2:$C$20000,"&lt;"&amp;EDATE($A5,1))</f>
        <v/>
      </c>
      <c r="C5" s="23">
        <f>SUMIFS(Data!$L$2:$L$20000,Data!$E$2:$E$20000,C$2,Data!$C$2:$C$20000,"&gt;="&amp;$A5,Data!$C$2:$C$20000,"&lt;"&amp;EDATE($A5,1))</f>
        <v/>
      </c>
      <c r="D5" s="23">
        <f>SUMIFS(Data!$L$2:$L$20000,Data!$E$2:$E$20000,D$2,Data!$C$2:$C$20000,"&gt;="&amp;$A5,Data!$C$2:$C$20000,"&lt;"&amp;EDATE($A5,1))</f>
        <v/>
      </c>
      <c r="E5" s="23">
        <f>SUMIFS(Data!$L$2:$L$20000,Data!$E$2:$E$20000,E$2,Data!$C$2:$C$20000,"&gt;="&amp;$A5,Data!$C$2:$C$20000,"&lt;"&amp;EDATE($A5,1))</f>
        <v/>
      </c>
      <c r="F5" s="23">
        <f>SUM($B5:$E5)</f>
        <v/>
      </c>
      <c r="G5" s="24" t="n"/>
      <c r="H5" s="14">
        <f>IF($G5="","",IF(ABS($F5-$G5)&lt;0.99,"Reconciled",$F5-$G5))</f>
        <v/>
      </c>
    </row>
    <row r="6">
      <c r="A6" s="22" t="n">
        <v>46296</v>
      </c>
      <c r="B6" s="23">
        <f>SUMIFS(Data!$L$2:$L$20000,Data!$E$2:$E$20000,B$2,Data!$C$2:$C$20000,"&gt;="&amp;$A6,Data!$C$2:$C$20000,"&lt;"&amp;EDATE($A6,1))</f>
        <v/>
      </c>
      <c r="C6" s="23">
        <f>SUMIFS(Data!$L$2:$L$20000,Data!$E$2:$E$20000,C$2,Data!$C$2:$C$20000,"&gt;="&amp;$A6,Data!$C$2:$C$20000,"&lt;"&amp;EDATE($A6,1))</f>
        <v/>
      </c>
      <c r="D6" s="23">
        <f>SUMIFS(Data!$L$2:$L$20000,Data!$E$2:$E$20000,D$2,Data!$C$2:$C$20000,"&gt;="&amp;$A6,Data!$C$2:$C$20000,"&lt;"&amp;EDATE($A6,1))</f>
        <v/>
      </c>
      <c r="E6" s="23">
        <f>SUMIFS(Data!$L$2:$L$20000,Data!$E$2:$E$20000,E$2,Data!$C$2:$C$20000,"&gt;="&amp;$A6,Data!$C$2:$C$20000,"&lt;"&amp;EDATE($A6,1))</f>
        <v/>
      </c>
      <c r="F6" s="23">
        <f>SUM($B6:$E6)</f>
        <v/>
      </c>
      <c r="G6" s="24" t="n"/>
      <c r="H6" s="14">
        <f>IF($G6="","",IF(ABS($F6-$G6)&lt;0.99,"Reconciled",$F6-$G6))</f>
        <v/>
      </c>
    </row>
    <row r="7">
      <c r="A7" s="22" t="n">
        <v>46327</v>
      </c>
      <c r="B7" s="23">
        <f>SUMIFS(Data!$L$2:$L$20000,Data!$E$2:$E$20000,B$2,Data!$C$2:$C$20000,"&gt;="&amp;$A7,Data!$C$2:$C$20000,"&lt;"&amp;EDATE($A7,1))</f>
        <v/>
      </c>
      <c r="C7" s="23">
        <f>SUMIFS(Data!$L$2:$L$20000,Data!$E$2:$E$20000,C$2,Data!$C$2:$C$20000,"&gt;="&amp;$A7,Data!$C$2:$C$20000,"&lt;"&amp;EDATE($A7,1))</f>
        <v/>
      </c>
      <c r="D7" s="23">
        <f>SUMIFS(Data!$L$2:$L$20000,Data!$E$2:$E$20000,D$2,Data!$C$2:$C$20000,"&gt;="&amp;$A7,Data!$C$2:$C$20000,"&lt;"&amp;EDATE($A7,1))</f>
        <v/>
      </c>
      <c r="E7" s="23">
        <f>SUMIFS(Data!$L$2:$L$20000,Data!$E$2:$E$20000,E$2,Data!$C$2:$C$20000,"&gt;="&amp;$A7,Data!$C$2:$C$20000,"&lt;"&amp;EDATE($A7,1))</f>
        <v/>
      </c>
      <c r="F7" s="23">
        <f>SUM($B7:$E7)</f>
        <v/>
      </c>
      <c r="G7" s="24" t="n"/>
      <c r="H7" s="14">
        <f>IF($G7="","",IF(ABS($F7-$G7)&lt;0.99,"Reconciled",$F7-$G7))</f>
        <v/>
      </c>
    </row>
    <row r="8">
      <c r="A8" s="22" t="n">
        <v>46357</v>
      </c>
      <c r="B8" s="23">
        <f>SUMIFS(Data!$L$2:$L$20000,Data!$E$2:$E$20000,B$2,Data!$C$2:$C$20000,"&gt;="&amp;$A8,Data!$C$2:$C$20000,"&lt;"&amp;EDATE($A8,1))</f>
        <v/>
      </c>
      <c r="C8" s="23">
        <f>SUMIFS(Data!$L$2:$L$20000,Data!$E$2:$E$20000,C$2,Data!$C$2:$C$20000,"&gt;="&amp;$A8,Data!$C$2:$C$20000,"&lt;"&amp;EDATE($A8,1))</f>
        <v/>
      </c>
      <c r="D8" s="23">
        <f>SUMIFS(Data!$L$2:$L$20000,Data!$E$2:$E$20000,D$2,Data!$C$2:$C$20000,"&gt;="&amp;$A8,Data!$C$2:$C$20000,"&lt;"&amp;EDATE($A8,1))</f>
        <v/>
      </c>
      <c r="E8" s="23">
        <f>SUMIFS(Data!$L$2:$L$20000,Data!$E$2:$E$20000,E$2,Data!$C$2:$C$20000,"&gt;="&amp;$A8,Data!$C$2:$C$20000,"&lt;"&amp;EDATE($A8,1))</f>
        <v/>
      </c>
      <c r="F8" s="23">
        <f>SUM($B8:$E8)</f>
        <v/>
      </c>
      <c r="G8" s="24" t="n"/>
      <c r="H8" s="14">
        <f>IF($G8="","",IF(ABS($F8-$G8)&lt;0.99,"Reconciled",$F8-$G8))</f>
        <v/>
      </c>
    </row>
    <row r="9">
      <c r="A9" s="22" t="n">
        <v>46388</v>
      </c>
      <c r="B9" s="23">
        <f>SUMIFS(Data!$L$2:$L$20000,Data!$E$2:$E$20000,B$2,Data!$C$2:$C$20000,"&gt;="&amp;$A9,Data!$C$2:$C$20000,"&lt;"&amp;EDATE($A9,1))</f>
        <v/>
      </c>
      <c r="C9" s="23">
        <f>SUMIFS(Data!$L$2:$L$20000,Data!$E$2:$E$20000,C$2,Data!$C$2:$C$20000,"&gt;="&amp;$A9,Data!$C$2:$C$20000,"&lt;"&amp;EDATE($A9,1))</f>
        <v/>
      </c>
      <c r="D9" s="23">
        <f>SUMIFS(Data!$L$2:$L$20000,Data!$E$2:$E$20000,D$2,Data!$C$2:$C$20000,"&gt;="&amp;$A9,Data!$C$2:$C$20000,"&lt;"&amp;EDATE($A9,1))</f>
        <v/>
      </c>
      <c r="E9" s="23">
        <f>SUMIFS(Data!$L$2:$L$20000,Data!$E$2:$E$20000,E$2,Data!$C$2:$C$20000,"&gt;="&amp;$A9,Data!$C$2:$C$20000,"&lt;"&amp;EDATE($A9,1))</f>
        <v/>
      </c>
      <c r="F9" s="23">
        <f>SUM($B9:$E9)</f>
        <v/>
      </c>
      <c r="G9" s="24" t="n"/>
      <c r="H9" s="14">
        <f>IF($G9="","",IF(ABS($F9-$G9)&lt;0.99,"Reconciled",$F9-$G9))</f>
        <v/>
      </c>
    </row>
    <row r="10">
      <c r="A10" s="22" t="n">
        <v>46419</v>
      </c>
      <c r="B10" s="23">
        <f>SUMIFS(Data!$L$2:$L$20000,Data!$E$2:$E$20000,B$2,Data!$C$2:$C$20000,"&gt;="&amp;$A10,Data!$C$2:$C$20000,"&lt;"&amp;EDATE($A10,1))</f>
        <v/>
      </c>
      <c r="C10" s="23">
        <f>SUMIFS(Data!$L$2:$L$20000,Data!$E$2:$E$20000,C$2,Data!$C$2:$C$20000,"&gt;="&amp;$A10,Data!$C$2:$C$20000,"&lt;"&amp;EDATE($A10,1))</f>
        <v/>
      </c>
      <c r="D10" s="23">
        <f>SUMIFS(Data!$L$2:$L$20000,Data!$E$2:$E$20000,D$2,Data!$C$2:$C$20000,"&gt;="&amp;$A10,Data!$C$2:$C$20000,"&lt;"&amp;EDATE($A10,1))</f>
        <v/>
      </c>
      <c r="E10" s="23">
        <f>SUMIFS(Data!$L$2:$L$20000,Data!$E$2:$E$20000,E$2,Data!$C$2:$C$20000,"&gt;="&amp;$A10,Data!$C$2:$C$20000,"&lt;"&amp;EDATE($A10,1))</f>
        <v/>
      </c>
      <c r="F10" s="23">
        <f>SUM($B10:$E10)</f>
        <v/>
      </c>
      <c r="G10" s="24" t="n"/>
      <c r="H10" s="14">
        <f>IF($G10="","",IF(ABS($F10-$G10)&lt;0.99,"Reconciled",$F10-$G10))</f>
        <v/>
      </c>
    </row>
    <row r="11">
      <c r="A11" s="22" t="n">
        <v>46447</v>
      </c>
      <c r="B11" s="23">
        <f>SUMIFS(Data!$L$2:$L$20000,Data!$E$2:$E$20000,B$2,Data!$C$2:$C$20000,"&gt;="&amp;$A11,Data!$C$2:$C$20000,"&lt;"&amp;EDATE($A11,1))</f>
        <v/>
      </c>
      <c r="C11" s="23">
        <f>SUMIFS(Data!$L$2:$L$20000,Data!$E$2:$E$20000,C$2,Data!$C$2:$C$20000,"&gt;="&amp;$A11,Data!$C$2:$C$20000,"&lt;"&amp;EDATE($A11,1))</f>
        <v/>
      </c>
      <c r="D11" s="23">
        <f>SUMIFS(Data!$L$2:$L$20000,Data!$E$2:$E$20000,D$2,Data!$C$2:$C$20000,"&gt;="&amp;$A11,Data!$C$2:$C$20000,"&lt;"&amp;EDATE($A11,1))</f>
        <v/>
      </c>
      <c r="E11" s="23">
        <f>SUMIFS(Data!$L$2:$L$20000,Data!$E$2:$E$20000,E$2,Data!$C$2:$C$20000,"&gt;="&amp;$A11,Data!$C$2:$C$20000,"&lt;"&amp;EDATE($A11,1))</f>
        <v/>
      </c>
      <c r="F11" s="23">
        <f>SUM($B11:$E11)</f>
        <v/>
      </c>
      <c r="G11" s="24" t="n"/>
      <c r="H11" s="14">
        <f>IF($G11="","",IF(ABS($F11-$G11)&lt;0.99,"Reconciled",$F11-$G11))</f>
        <v/>
      </c>
    </row>
    <row r="12">
      <c r="A12" s="22" t="n">
        <v>46478</v>
      </c>
      <c r="B12" s="23">
        <f>SUMIFS(Data!$L$2:$L$20000,Data!$E$2:$E$20000,B$2,Data!$C$2:$C$20000,"&gt;="&amp;$A12,Data!$C$2:$C$20000,"&lt;"&amp;EDATE($A12,1))</f>
        <v/>
      </c>
      <c r="C12" s="23">
        <f>SUMIFS(Data!$L$2:$L$20000,Data!$E$2:$E$20000,C$2,Data!$C$2:$C$20000,"&gt;="&amp;$A12,Data!$C$2:$C$20000,"&lt;"&amp;EDATE($A12,1))</f>
        <v/>
      </c>
      <c r="D12" s="23">
        <f>SUMIFS(Data!$L$2:$L$20000,Data!$E$2:$E$20000,D$2,Data!$C$2:$C$20000,"&gt;="&amp;$A12,Data!$C$2:$C$20000,"&lt;"&amp;EDATE($A12,1))</f>
        <v/>
      </c>
      <c r="E12" s="23">
        <f>SUMIFS(Data!$L$2:$L$20000,Data!$E$2:$E$20000,E$2,Data!$C$2:$C$20000,"&gt;="&amp;$A12,Data!$C$2:$C$20000,"&lt;"&amp;EDATE($A12,1))</f>
        <v/>
      </c>
      <c r="F12" s="23">
        <f>SUM($B12:$E12)</f>
        <v/>
      </c>
      <c r="G12" s="24" t="n"/>
      <c r="H12" s="14">
        <f>IF($G12="","",IF(ABS($F12-$G12)&lt;0.99,"Reconciled",$F12-$G12))</f>
        <v/>
      </c>
    </row>
    <row r="13">
      <c r="A13" s="22" t="n">
        <v>46508</v>
      </c>
      <c r="B13" s="23">
        <f>SUMIFS(Data!$L$2:$L$20000,Data!$E$2:$E$20000,B$2,Data!$C$2:$C$20000,"&gt;="&amp;$A13,Data!$C$2:$C$20000,"&lt;"&amp;EDATE($A13,1))</f>
        <v/>
      </c>
      <c r="C13" s="23">
        <f>SUMIFS(Data!$L$2:$L$20000,Data!$E$2:$E$20000,C$2,Data!$C$2:$C$20000,"&gt;="&amp;$A13,Data!$C$2:$C$20000,"&lt;"&amp;EDATE($A13,1))</f>
        <v/>
      </c>
      <c r="D13" s="23">
        <f>SUMIFS(Data!$L$2:$L$20000,Data!$E$2:$E$20000,D$2,Data!$C$2:$C$20000,"&gt;="&amp;$A13,Data!$C$2:$C$20000,"&lt;"&amp;EDATE($A13,1))</f>
        <v/>
      </c>
      <c r="E13" s="23">
        <f>SUMIFS(Data!$L$2:$L$20000,Data!$E$2:$E$20000,E$2,Data!$C$2:$C$20000,"&gt;="&amp;$A13,Data!$C$2:$C$20000,"&lt;"&amp;EDATE($A13,1))</f>
        <v/>
      </c>
      <c r="F13" s="23">
        <f>SUM($B13:$E13)</f>
        <v/>
      </c>
      <c r="G13" s="24" t="n"/>
      <c r="H13" s="14">
        <f>IF($G13="","",IF(ABS($F13-$G13)&lt;0.99,"Reconciled",$F13-$G13))</f>
        <v/>
      </c>
    </row>
    <row r="14">
      <c r="A14" s="22" t="n">
        <v>46539</v>
      </c>
      <c r="B14" s="23">
        <f>SUMIFS(Data!$L$2:$L$20000,Data!$E$2:$E$20000,B$2,Data!$C$2:$C$20000,"&gt;="&amp;$A14,Data!$C$2:$C$20000,"&lt;"&amp;EDATE($A14,1))</f>
        <v/>
      </c>
      <c r="C14" s="23">
        <f>SUMIFS(Data!$L$2:$L$20000,Data!$E$2:$E$20000,C$2,Data!$C$2:$C$20000,"&gt;="&amp;$A14,Data!$C$2:$C$20000,"&lt;"&amp;EDATE($A14,1))</f>
        <v/>
      </c>
      <c r="D14" s="23">
        <f>SUMIFS(Data!$L$2:$L$20000,Data!$E$2:$E$20000,D$2,Data!$C$2:$C$20000,"&gt;="&amp;$A14,Data!$C$2:$C$20000,"&lt;"&amp;EDATE($A14,1))</f>
        <v/>
      </c>
      <c r="E14" s="23">
        <f>SUMIFS(Data!$L$2:$L$20000,Data!$E$2:$E$20000,E$2,Data!$C$2:$C$20000,"&gt;="&amp;$A14,Data!$C$2:$C$20000,"&lt;"&amp;EDATE($A14,1))</f>
        <v/>
      </c>
      <c r="F14" s="23">
        <f>SUM($B14:$E14)</f>
        <v/>
      </c>
      <c r="G14" s="24" t="n"/>
      <c r="H14" s="14">
        <f>IF($G14="","",IF(ABS($F14-$G14)&lt;0.99,"Reconciled",$F14-$G14))</f>
        <v/>
      </c>
    </row>
    <row r="15">
      <c r="A15" s="25" t="inlineStr">
        <is>
          <t>Total</t>
        </is>
      </c>
      <c r="B15" s="26">
        <f>SUM(B3:B14)</f>
        <v/>
      </c>
      <c r="C15" s="26">
        <f>SUM(C3:C14)</f>
        <v/>
      </c>
      <c r="D15" s="26">
        <f>SUM(D3:D14)</f>
        <v/>
      </c>
      <c r="E15" s="26">
        <f>SUM(E3:E14)</f>
        <v/>
      </c>
      <c r="F15" s="26">
        <f>SUM(F3:F14)</f>
        <v/>
      </c>
      <c r="G15" s="26">
        <f>SUM(G3:G14)</f>
        <v/>
      </c>
      <c r="H15" s="25">
        <f>IF(COUNT($G$3:$G$14)=0,"",IF(ABS(SUMPRODUCT(($G$3:$G$14&lt;&gt;"")*$F$3:$F$14)-SUM($G$3:$G$14))&lt;0.99,"Reconciled",SUMPRODUCT(($G$3:$G$14&lt;&gt;"")*$F$3:$F$14)-SUM($G$3:$G$14)))</f>
        <v/>
      </c>
    </row>
    <row r="17">
      <c r="A17" s="9" t="inlineStr">
        <is>
          <t>P&amp;L Total (yellow) is the only figure you type here. Variance reads "Reconciled" under $0.99.</t>
        </is>
      </c>
    </row>
    <row r="18">
      <c r="A18" s="9" t="inlineStr">
        <is>
          <t>The Total row measures only the months where a P&amp;L Total has been entered, so a part-year shows no false gap.</t>
        </is>
      </c>
    </row>
    <row r="21">
      <c r="A21" s="20" t="inlineStr">
        <is>
          <t>Reconciliation — is every record reaching the monthly view?</t>
        </is>
      </c>
    </row>
    <row r="22" ht="30" customHeight="1">
      <c r="A22" s="21" t="inlineStr">
        <is>
          <t>Report line</t>
        </is>
      </c>
      <c r="B22" s="21" t="inlineStr">
        <is>
          <t>Total in tracker</t>
        </is>
      </c>
      <c r="C22" s="21" t="inlineStr">
        <is>
          <t>In FY27 months</t>
        </is>
      </c>
      <c r="D22" s="21" t="inlineStr">
        <is>
          <t>No date</t>
        </is>
      </c>
      <c r="E22" s="21" t="inlineStr">
        <is>
          <t>Dated outside FY27</t>
        </is>
      </c>
      <c r="F22" s="21" t="inlineStr">
        <is>
          <t>Adds up?</t>
        </is>
      </c>
    </row>
    <row r="23">
      <c r="A23" s="14" t="inlineStr">
        <is>
          <t>Support</t>
        </is>
      </c>
      <c r="B23" s="23">
        <f>SUMIF(Data!$E$2:$E$20000,$A23,Data!$L$2:$L$20000)</f>
        <v/>
      </c>
      <c r="C23" s="23">
        <f>SUMIFS(Data!$L$2:$L$20000,Data!$E$2:$E$20000,$A23,Data!$O$2:$O$20000,"In FY27")</f>
        <v/>
      </c>
      <c r="D23" s="23">
        <f>SUMIFS(Data!$L$2:$L$20000,Data!$E$2:$E$20000,$A23,Data!$O$2:$O$20000,"No date")</f>
        <v/>
      </c>
      <c r="E23" s="23">
        <f>SUMIFS(Data!$L$2:$L$20000,Data!$E$2:$E$20000,$A23,Data!$O$2:$O$20000,"Outside FY27")</f>
        <v/>
      </c>
      <c r="F23" s="14">
        <f>IF(ABS($B23-SUM($C23:$E23))&lt;0.01,"OK","Check")</f>
        <v/>
      </c>
    </row>
    <row r="24">
      <c r="A24" s="14" t="inlineStr">
        <is>
          <t>Production</t>
        </is>
      </c>
      <c r="B24" s="23">
        <f>SUMIF(Data!$E$2:$E$20000,$A24,Data!$L$2:$L$20000)</f>
        <v/>
      </c>
      <c r="C24" s="23">
        <f>SUMIFS(Data!$L$2:$L$20000,Data!$E$2:$E$20000,$A24,Data!$O$2:$O$20000,"In FY27")</f>
        <v/>
      </c>
      <c r="D24" s="23">
        <f>SUMIFS(Data!$L$2:$L$20000,Data!$E$2:$E$20000,$A24,Data!$O$2:$O$20000,"No date")</f>
        <v/>
      </c>
      <c r="E24" s="23">
        <f>SUMIFS(Data!$L$2:$L$20000,Data!$E$2:$E$20000,$A24,Data!$O$2:$O$20000,"Outside FY27")</f>
        <v/>
      </c>
      <c r="F24" s="14">
        <f>IF(ABS($B24-SUM($C24:$E24))&lt;0.01,"OK","Check")</f>
        <v/>
      </c>
    </row>
    <row r="25">
      <c r="A25" s="14" t="inlineStr">
        <is>
          <t>Consulting</t>
        </is>
      </c>
      <c r="B25" s="23">
        <f>SUMIF(Data!$E$2:$E$20000,$A25,Data!$L$2:$L$20000)</f>
        <v/>
      </c>
      <c r="C25" s="23">
        <f>SUMIFS(Data!$L$2:$L$20000,Data!$E$2:$E$20000,$A25,Data!$O$2:$O$20000,"In FY27")</f>
        <v/>
      </c>
      <c r="D25" s="23">
        <f>SUMIFS(Data!$L$2:$L$20000,Data!$E$2:$E$20000,$A25,Data!$O$2:$O$20000,"No date")</f>
        <v/>
      </c>
      <c r="E25" s="23">
        <f>SUMIFS(Data!$L$2:$L$20000,Data!$E$2:$E$20000,$A25,Data!$O$2:$O$20000,"Outside FY27")</f>
        <v/>
      </c>
      <c r="F25" s="14">
        <f>IF(ABS($B25-SUM($C25:$E25))&lt;0.01,"OK","Check")</f>
        <v/>
      </c>
    </row>
    <row r="26">
      <c r="A26" s="14" t="inlineStr">
        <is>
          <t>WIP</t>
        </is>
      </c>
      <c r="B26" s="23">
        <f>SUMIF(Data!$E$2:$E$20000,$A26,Data!$L$2:$L$20000)</f>
        <v/>
      </c>
      <c r="C26" s="23">
        <f>SUMIFS(Data!$L$2:$L$20000,Data!$E$2:$E$20000,$A26,Data!$O$2:$O$20000,"In FY27")</f>
        <v/>
      </c>
      <c r="D26" s="23">
        <f>SUMIFS(Data!$L$2:$L$20000,Data!$E$2:$E$20000,$A26,Data!$O$2:$O$20000,"No date")</f>
        <v/>
      </c>
      <c r="E26" s="23">
        <f>SUMIFS(Data!$L$2:$L$20000,Data!$E$2:$E$20000,$A26,Data!$O$2:$O$20000,"Outside FY27")</f>
        <v/>
      </c>
      <c r="F26" s="14">
        <f>IF(ABS($B26-SUM($C26:$E26))&lt;0.01,"OK","Check")</f>
        <v/>
      </c>
    </row>
    <row r="27">
      <c r="A27" s="25" t="inlineStr">
        <is>
          <t>Total</t>
        </is>
      </c>
      <c r="B27" s="26">
        <f>SUM(B23:B26)</f>
        <v/>
      </c>
      <c r="C27" s="26">
        <f>SUM(C23:C26)</f>
        <v/>
      </c>
      <c r="D27" s="26">
        <f>SUM(D23:D26)</f>
        <v/>
      </c>
      <c r="E27" s="26">
        <f>SUM(E23:E26)</f>
        <v/>
      </c>
      <c r="F27" s="25">
        <f>IF(ABS($C$27-$F$15)&lt;0.01,"Matches monthly grid","Does not match monthly grid")</f>
        <v/>
      </c>
    </row>
    <row r="29">
      <c r="A29" s="9" t="inlineStr">
        <is>
          <t>"No date" and "Dated outside FY27" are different problems. A blank date needs filling in. A date outside FY27 is a real date from another financial year.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E5066"/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4" customWidth="1" min="2" max="2"/>
    <col width="10" customWidth="1" min="3" max="3"/>
    <col width="16" customWidth="1" min="4" max="4"/>
    <col width="11" customWidth="1" min="5" max="5"/>
    <col width="74" customWidth="1" min="6" max="6"/>
  </cols>
  <sheetData>
    <row r="1">
      <c r="A1" s="20" t="inlineStr">
        <is>
          <t>Data quality checks</t>
        </is>
      </c>
    </row>
    <row r="2">
      <c r="A2" s="9" t="inlineStr">
        <is>
          <t>Live formulas — they update the moment you change anything on the Data tab.</t>
        </is>
      </c>
    </row>
    <row r="4" ht="30" customHeight="1">
      <c r="A4" s="21" t="inlineStr">
        <is>
          <t>#</t>
        </is>
      </c>
      <c r="B4" s="21" t="inlineStr">
        <is>
          <t>What is being checked</t>
        </is>
      </c>
      <c r="C4" s="21" t="inlineStr">
        <is>
          <t>Records</t>
        </is>
      </c>
      <c r="D4" s="21" t="inlineStr">
        <is>
          <t>Value</t>
        </is>
      </c>
      <c r="E4" s="21" t="inlineStr">
        <is>
          <t>Status</t>
        </is>
      </c>
      <c r="F4" s="21" t="inlineStr">
        <is>
          <t>What to do</t>
        </is>
      </c>
    </row>
    <row r="5" ht="30" customHeight="1">
      <c r="A5" s="27" t="n">
        <v>1</v>
      </c>
      <c r="B5" s="28" t="inlineStr">
        <is>
          <t>Records with no date</t>
        </is>
      </c>
      <c r="C5" s="27">
        <f>COUNTIF(Data!$O$2:$O$20000,"No date")</f>
        <v/>
      </c>
      <c r="D5" s="29">
        <f>SUMIF(Data!$O$2:$O$20000,"No date",Data!$L$2:$L$20000)</f>
        <v/>
      </c>
      <c r="E5" s="27">
        <f>IF(AND(N($C5)=0,ROUND(N($D5),2)=0),"OK","Review")</f>
        <v/>
      </c>
      <c r="F5" s="30" t="inlineStr">
        <is>
          <t>Filter Date Check to "No date" on the Data tab and fill them in. This money is in no month until you do.</t>
        </is>
      </c>
    </row>
    <row r="6" ht="30" customHeight="1">
      <c r="A6" s="27" t="n">
        <v>2</v>
      </c>
      <c r="B6" s="28" t="inlineStr">
        <is>
          <t>Records dated outside FY 2026-27</t>
        </is>
      </c>
      <c r="C6" s="27">
        <f>COUNTIF(Data!$O$2:$O$20000,"Outside FY27")</f>
        <v/>
      </c>
      <c r="D6" s="29">
        <f>SUMIF(Data!$O$2:$O$20000,"Outside FY27",Data!$L$2:$L$20000)</f>
        <v/>
      </c>
      <c r="E6" s="27">
        <f>IF(AND(N($C6)=0,ROUND(N($D6),2)=0),"OK","Review")</f>
        <v/>
      </c>
      <c r="F6" s="30" t="inlineStr">
        <is>
          <t>Real dates from another financial year. Decide whether they belong in this tracker at all.</t>
        </is>
      </c>
    </row>
    <row r="7" ht="30" customHeight="1">
      <c r="A7" s="27" t="n">
        <v>3</v>
      </c>
      <c r="B7" s="28" t="inlineStr">
        <is>
          <t>WIP jobs that have also been invoiced</t>
        </is>
      </c>
      <c r="C7" s="27">
        <f>COUNTIF(Data!$P$2:$P$20000,"Job already invoiced")</f>
        <v/>
      </c>
      <c r="D7" s="29">
        <f>SUMIF(Data!$P$2:$P$20000,"Job already invoiced",Data!$L$2:$L$20000)</f>
        <v/>
      </c>
      <c r="E7" s="27">
        <f>IF(AND(N($C7)=0,ROUND(N($D7),2)=0),"OK","Review")</f>
        <v/>
      </c>
      <c r="F7" s="30" t="inlineStr">
        <is>
          <t>Filter Duplicate Check on the Data tab. Each needs a reversing WIP entry or it is double counted.</t>
        </is>
      </c>
    </row>
    <row r="8" ht="30" customHeight="1">
      <c r="A8" s="27" t="n">
        <v>4</v>
      </c>
      <c r="B8" s="28" t="inlineStr">
        <is>
          <t>Departments that do not map to a report line</t>
        </is>
      </c>
      <c r="C8" s="27">
        <f>COUNTIF(Data!$E$2:$E$20000,"Unmapped")</f>
        <v/>
      </c>
      <c r="D8" s="31" t="n"/>
      <c r="E8" s="27">
        <f>IF(AND(N($C8)=0,ROUND(N($D8),2)=0),"OK","Review")</f>
        <v/>
      </c>
      <c r="F8" s="30" t="inlineStr">
        <is>
          <t>The department is not on the Lists tab. Correct the record, or add the department and its report line.</t>
        </is>
      </c>
    </row>
    <row r="9" ht="30" customHeight="1">
      <c r="A9" s="27" t="n">
        <v>5</v>
      </c>
      <c r="B9" s="28" t="inlineStr">
        <is>
          <t>Records with a Type but no Department</t>
        </is>
      </c>
      <c r="C9" s="27">
        <f>SUMPRODUCT((Data!$B$2:$B$20000&lt;&gt;"")*(Data!$D$2:$D$20000=""))</f>
        <v/>
      </c>
      <c r="D9" s="31" t="n"/>
      <c r="E9" s="27">
        <f>IF(AND(N($C9)=0,ROUND(N($D9),2)=0),"OK","Review")</f>
        <v/>
      </c>
      <c r="F9" s="30" t="inlineStr">
        <is>
          <t>Every record needs a department so it lands on the right report line.</t>
        </is>
      </c>
    </row>
    <row r="10" ht="30" customHeight="1">
      <c r="A10" s="27" t="n">
        <v>6</v>
      </c>
      <c r="B10" s="28" t="inlineStr">
        <is>
          <t>Records with money but no client</t>
        </is>
      </c>
      <c r="C10" s="27">
        <f>SUMPRODUCT((Data!$K$2:$K$20000&lt;&gt;0)*(Data!$K$2:$K$20000&lt;&gt;"")*(Data!$G$2:$G$20000=""))</f>
        <v/>
      </c>
      <c r="D10" s="31" t="n"/>
      <c r="E10" s="27">
        <f>IF(AND(N($C10)=0,ROUND(N($D10),2)=0),"OK","Review")</f>
        <v/>
      </c>
      <c r="F10" s="30" t="inlineStr">
        <is>
          <t>A revenue line with no client cannot be traced back to anything.</t>
        </is>
      </c>
    </row>
    <row r="11" ht="30" customHeight="1">
      <c r="A11" s="27" t="n">
        <v>7</v>
      </c>
      <c r="B11" s="28" t="inlineStr">
        <is>
          <t>Records with money but no job number</t>
        </is>
      </c>
      <c r="C11" s="27">
        <f>SUMPRODUCT((Data!$K$2:$K$20000&lt;&gt;0)*(Data!$K$2:$K$20000&lt;&gt;"")*(Data!$H$2:$H$20000=""))</f>
        <v/>
      </c>
      <c r="D11" s="31" t="n"/>
      <c r="E11" s="27">
        <f>IF(AND(N($C11)=0,ROUND(N($D11),2)=0),"OK","Review")</f>
        <v/>
      </c>
      <c r="F11" s="30" t="inlineStr">
        <is>
          <t>Without a job number the WIP duplicate check cannot see this record.</t>
        </is>
      </c>
    </row>
    <row r="12" ht="30" customHeight="1">
      <c r="A12" s="27" t="n">
        <v>8</v>
      </c>
      <c r="B12" s="28" t="inlineStr">
        <is>
          <t>Monthly grid vs total in tracker</t>
        </is>
      </c>
      <c r="C12" s="27" t="n"/>
      <c r="D12" s="29">
        <f>Dashboard!$F$15-Dashboard!$C$27</f>
        <v/>
      </c>
      <c r="E12" s="27">
        <f>IF(AND(N($C12)=0,ROUND(N($D12),2)=0),"OK","Review")</f>
        <v/>
      </c>
      <c r="F12" s="30" t="inlineStr">
        <is>
          <t>Should be zero. Anything else means the Dashboard and the Data tab disagree.</t>
        </is>
      </c>
    </row>
    <row r="15">
      <c r="A15" s="20" t="inlineStr">
        <is>
          <t>WIP jobs that already appear on an invoiced record</t>
        </is>
      </c>
    </row>
    <row r="16">
      <c r="A16" s="9" t="inlineStr">
        <is>
          <t>Snapshot from the rebuild. The live version is the Duplicate Check column on the Data tab.</t>
        </is>
      </c>
    </row>
    <row r="17" ht="30" customHeight="1">
      <c r="A17" s="21" t="inlineStr">
        <is>
          <t>Job Number</t>
        </is>
      </c>
      <c r="B17" s="21" t="inlineStr">
        <is>
          <t>Client</t>
        </is>
      </c>
      <c r="C17" s="21" t="inlineStr">
        <is>
          <t>WIP Amount</t>
        </is>
      </c>
      <c r="D17" s="21" t="inlineStr">
        <is>
          <t>Invoiced dept</t>
        </is>
      </c>
      <c r="E17" s="21" t="inlineStr">
        <is>
          <t>Invoiced Amount</t>
        </is>
      </c>
    </row>
    <row r="18">
      <c r="A18" s="32" t="inlineStr">
        <is>
          <t>26043001</t>
        </is>
      </c>
      <c r="B18" s="33" t="inlineStr">
        <is>
          <t>CBA</t>
        </is>
      </c>
      <c r="C18" s="34" t="n">
        <v>-5950</v>
      </c>
      <c r="D18" s="32" t="inlineStr">
        <is>
          <t>Support</t>
        </is>
      </c>
      <c r="E18" s="34" t="n">
        <v>11377.12</v>
      </c>
    </row>
    <row r="19">
      <c r="A19" s="32" t="inlineStr">
        <is>
          <t>26043001</t>
        </is>
      </c>
      <c r="B19" s="33" t="inlineStr">
        <is>
          <t>CBA</t>
        </is>
      </c>
      <c r="C19" s="34" t="n">
        <v>-5950</v>
      </c>
      <c r="D19" s="32" t="inlineStr">
        <is>
          <t>Support</t>
        </is>
      </c>
      <c r="E19" s="34" t="n">
        <v>11377.12</v>
      </c>
    </row>
    <row r="20">
      <c r="A20" s="32" t="inlineStr">
        <is>
          <t>2604704</t>
        </is>
      </c>
      <c r="B20" s="33" t="inlineStr">
        <is>
          <t>Aware Super</t>
        </is>
      </c>
      <c r="C20" s="34" t="n">
        <v>1821.25</v>
      </c>
      <c r="D20" s="32" t="inlineStr">
        <is>
          <t>Integration</t>
        </is>
      </c>
      <c r="E20" s="34" t="n">
        <v>202647</v>
      </c>
    </row>
    <row r="21">
      <c r="A21" s="32" t="inlineStr">
        <is>
          <t>2606101</t>
        </is>
      </c>
      <c r="B21" s="33" t="inlineStr">
        <is>
          <t>APA</t>
        </is>
      </c>
      <c r="C21" s="34" t="n">
        <v>-4205</v>
      </c>
      <c r="D21" s="32" t="inlineStr">
        <is>
          <t>Integration</t>
        </is>
      </c>
      <c r="E21" s="34" t="n">
        <v>4205</v>
      </c>
    </row>
    <row r="22">
      <c r="A22" s="32" t="inlineStr">
        <is>
          <t>26061108</t>
        </is>
      </c>
      <c r="B22" s="33" t="inlineStr">
        <is>
          <t>APA</t>
        </is>
      </c>
      <c r="C22" s="34" t="n">
        <v>-600</v>
      </c>
      <c r="D22" s="32" t="inlineStr">
        <is>
          <t>Production</t>
        </is>
      </c>
      <c r="E22" s="34" t="n">
        <v>12600.6</v>
      </c>
    </row>
    <row r="23">
      <c r="A23" s="32" t="inlineStr">
        <is>
          <t>26061108</t>
        </is>
      </c>
      <c r="B23" s="33" t="inlineStr">
        <is>
          <t>APA</t>
        </is>
      </c>
      <c r="C23" s="34" t="n">
        <v>-237.5</v>
      </c>
      <c r="D23" s="32" t="inlineStr">
        <is>
          <t>Production</t>
        </is>
      </c>
      <c r="E23" s="34" t="n">
        <v>12600.6</v>
      </c>
    </row>
    <row r="24">
      <c r="A24" s="32" t="inlineStr">
        <is>
          <t>26061108</t>
        </is>
      </c>
      <c r="B24" s="33" t="inlineStr">
        <is>
          <t>APA</t>
        </is>
      </c>
      <c r="C24" s="34" t="n">
        <v>-5413.6</v>
      </c>
      <c r="D24" s="32" t="inlineStr">
        <is>
          <t>Production</t>
        </is>
      </c>
      <c r="E24" s="34" t="n">
        <v>12600.6</v>
      </c>
    </row>
    <row r="25">
      <c r="A25" s="32" t="inlineStr">
        <is>
          <t>26061108</t>
        </is>
      </c>
      <c r="B25" s="33" t="inlineStr">
        <is>
          <t>APA</t>
        </is>
      </c>
      <c r="C25" s="34" t="n">
        <v>-4520</v>
      </c>
      <c r="D25" s="32" t="inlineStr">
        <is>
          <t>Production</t>
        </is>
      </c>
      <c r="E25" s="34" t="n">
        <v>12600.6</v>
      </c>
    </row>
    <row r="26">
      <c r="A26" s="32" t="inlineStr">
        <is>
          <t>26061108</t>
        </is>
      </c>
      <c r="B26" s="33" t="inlineStr">
        <is>
          <t>APA</t>
        </is>
      </c>
      <c r="C26" s="34" t="n">
        <v>-300</v>
      </c>
      <c r="D26" s="32" t="inlineStr">
        <is>
          <t>Production</t>
        </is>
      </c>
      <c r="E26" s="34" t="n">
        <v>12600.6</v>
      </c>
    </row>
    <row r="27">
      <c r="A27" s="32" t="inlineStr">
        <is>
          <t>26061108</t>
        </is>
      </c>
      <c r="B27" s="33" t="inlineStr">
        <is>
          <t>APA</t>
        </is>
      </c>
      <c r="C27" s="34" t="n">
        <v>-690</v>
      </c>
      <c r="D27" s="32" t="inlineStr">
        <is>
          <t>Production</t>
        </is>
      </c>
      <c r="E27" s="34" t="n">
        <v>12600.6</v>
      </c>
    </row>
    <row r="28">
      <c r="A28" s="32" t="inlineStr">
        <is>
          <t>2603104</t>
        </is>
      </c>
      <c r="B28" s="33" t="inlineStr">
        <is>
          <t>Cochlear</t>
        </is>
      </c>
      <c r="C28" s="34" t="n">
        <v>172.5</v>
      </c>
      <c r="D28" s="32" t="inlineStr">
        <is>
          <t>Production</t>
        </is>
      </c>
      <c r="E28" s="34" t="n">
        <v>10540.5</v>
      </c>
    </row>
    <row r="29">
      <c r="A29" s="32" t="inlineStr">
        <is>
          <t>2512804</t>
        </is>
      </c>
      <c r="B29" s="33" t="inlineStr">
        <is>
          <t>RSNSW</t>
        </is>
      </c>
      <c r="C29" s="34" t="n">
        <v>115</v>
      </c>
      <c r="D29" s="32" t="inlineStr">
        <is>
          <t>Production</t>
        </is>
      </c>
      <c r="E29" s="34" t="n">
        <v>3261</v>
      </c>
    </row>
    <row r="30">
      <c r="A30" s="32" t="inlineStr">
        <is>
          <t>26061108</t>
        </is>
      </c>
      <c r="B30" s="33" t="inlineStr">
        <is>
          <t>APA</t>
        </is>
      </c>
      <c r="C30" s="34" t="n">
        <v>172.5</v>
      </c>
      <c r="D30" s="32" t="inlineStr">
        <is>
          <t>Production</t>
        </is>
      </c>
      <c r="E30" s="34" t="n">
        <v>12600.6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E5066"/>
    <outlinePr summaryBelow="1" summaryRight="1"/>
    <pageSetUpPr/>
  </sheetPr>
  <dimension ref="A1:E10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2" customWidth="1" min="3" max="3"/>
    <col width="12" customWidth="1" min="4" max="4"/>
    <col width="96" customWidth="1" min="5" max="5"/>
  </cols>
  <sheetData>
    <row r="1">
      <c r="A1" s="20" t="inlineStr">
        <is>
          <t>Notes and comments recovered from the old workbook</t>
        </is>
      </c>
    </row>
    <row r="2">
      <c r="A2" s="9" t="inlineStr">
        <is>
          <t>In the old file these were Excel comments stuck to cell positions, not to jobs. The macro swapped the data</t>
        </is>
      </c>
    </row>
    <row r="3">
      <c r="A3" s="9" t="inlineStr">
        <is>
          <t>underneath them every time you changed department, so they had already drifted off the records they describe.</t>
        </is>
      </c>
    </row>
    <row r="4">
      <c r="A4" s="9" t="inlineStr">
        <is>
          <t>They are listed here with their original cell reference. Paste each into the Notes column on the Data tab</t>
        </is>
      </c>
    </row>
    <row r="5">
      <c r="A5" s="9" t="inlineStr">
        <is>
          <t>against the right record. Nothing has been guessed — no note has been assigned to a record for you.</t>
        </is>
      </c>
    </row>
    <row r="7" ht="30" customHeight="1">
      <c r="A7" s="21" t="inlineStr">
        <is>
          <t>Original cell</t>
        </is>
      </c>
      <c r="B7" s="21" t="inlineStr">
        <is>
          <t>Type</t>
        </is>
      </c>
      <c r="C7" s="21" t="inlineStr">
        <is>
          <t>Author</t>
        </is>
      </c>
      <c r="D7" s="21" t="inlineStr">
        <is>
          <t>Date</t>
        </is>
      </c>
      <c r="E7" s="21" t="inlineStr">
        <is>
          <t>Note text</t>
        </is>
      </c>
    </row>
    <row r="8" ht="112" customHeight="1">
      <c r="A8" s="35" t="inlineStr">
        <is>
          <t>U17</t>
        </is>
      </c>
      <c r="B8" s="35" t="inlineStr">
        <is>
          <t>Note</t>
        </is>
      </c>
      <c r="C8" s="36" t="inlineStr">
        <is>
          <t>tc={64CAFEA6-7403-473A-A07F-D5B46206835A}</t>
        </is>
      </c>
      <c r="D8" s="35" t="inlineStr"/>
      <c r="E8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PO: BlueChip PO-00016878 
Accrued (Y/N &amp; Date): 
Invoice #: SOR-1395622</t>
        </is>
      </c>
    </row>
    <row r="9" ht="112" customHeight="1">
      <c r="A9" s="35" t="inlineStr">
        <is>
          <t>V17</t>
        </is>
      </c>
      <c r="B9" s="35" t="inlineStr">
        <is>
          <t>Note</t>
        </is>
      </c>
      <c r="C9" s="36" t="inlineStr">
        <is>
          <t>tc={EE0E9B4C-B60C-49C0-8F08-349C412BAFC8}</t>
        </is>
      </c>
      <c r="D9" s="35" t="inlineStr"/>
      <c r="E9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PO: BlueChip PO-00016878
Accrued (Y/N &amp; Date): 
Invoice #: SOR-1395622</t>
        </is>
      </c>
    </row>
    <row r="10" ht="42" customHeight="1">
      <c r="A10" s="35" t="inlineStr">
        <is>
          <t>V18</t>
        </is>
      </c>
      <c r="B10" s="35" t="inlineStr">
        <is>
          <t>Threaded</t>
        </is>
      </c>
      <c r="C10" s="36" t="inlineStr">
        <is>
          <t>Gianmaria  Gonzales-Yao</t>
        </is>
      </c>
      <c r="D10" s="35" t="inlineStr">
        <is>
          <t>2026-08-04</t>
        </is>
      </c>
      <c r="E10" s="37" t="inlineStr">
        <is>
          <t>PO: Barco PO-00016890 
Accrued (Y/N &amp; Date): Y &amp; June 2026 
Invoice #:</t>
        </is>
      </c>
    </row>
    <row r="11" ht="112" customHeight="1">
      <c r="A11" s="35" t="inlineStr">
        <is>
          <t>V18</t>
        </is>
      </c>
      <c r="B11" s="35" t="inlineStr">
        <is>
          <t>Note</t>
        </is>
      </c>
      <c r="C11" s="36" t="inlineStr">
        <is>
          <t>tc={7E633869-2C05-4011-93DA-CE274E40F652}</t>
        </is>
      </c>
      <c r="D11" s="35" t="inlineStr"/>
      <c r="E11" s="37" t="inlineStr">
        <is>
          <t>&lt;t&gt;[Threaded comment]
Your version of Excel allows you to read this threaded comment; however, any edits to it will get removed if the file is opened in a newer version of Excel. Learn more: https://go.microsoft.com/fwlink/?linkid=870924
Comment:
    PO: Barco PO-00016890 
Accrued (Y/N &amp; Date): Y &amp; June 2026 
Invoice #:</t>
        </is>
      </c>
    </row>
    <row r="12" ht="126" customHeight="1">
      <c r="A12" s="35" t="inlineStr">
        <is>
          <t>U19</t>
        </is>
      </c>
      <c r="B12" s="35" t="inlineStr">
        <is>
          <t>Note</t>
        </is>
      </c>
      <c r="C12" s="36" t="inlineStr">
        <is>
          <t>tc={C3AFA031-D315-42CB-955F-559A0953C2F6}</t>
        </is>
      </c>
      <c r="D12" s="35" t="inlineStr"/>
      <c r="E12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PO: The Avit Group PO-00016884 
The Avit Group PO-00016883 
Accrued (Y/N &amp; Date): Y &amp; 30/06/2026
Invoice #:</t>
        </is>
      </c>
    </row>
    <row r="13" ht="126" customHeight="1">
      <c r="A13" s="35" t="inlineStr">
        <is>
          <t>V19</t>
        </is>
      </c>
      <c r="B13" s="35" t="inlineStr">
        <is>
          <t>Note</t>
        </is>
      </c>
      <c r="C13" s="36" t="inlineStr">
        <is>
          <t>tc={B1A6549A-741E-48A0-93A8-3D72C4F6B6CD}</t>
        </is>
      </c>
      <c r="D13" s="35" t="inlineStr"/>
      <c r="E13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PO: The Avit Group PO-00016884 
The Avit Group PO-00016883 
Accrued (Y/N &amp; Date): Y &amp; 30/06/2026
Invoice #:</t>
        </is>
      </c>
    </row>
    <row r="14" ht="42" customHeight="1">
      <c r="A14" s="35" t="inlineStr">
        <is>
          <t>U20</t>
        </is>
      </c>
      <c r="B14" s="35" t="inlineStr">
        <is>
          <t>Threaded</t>
        </is>
      </c>
      <c r="C14" s="36" t="inlineStr">
        <is>
          <t>Gianmaria  Gonzales-Yao</t>
        </is>
      </c>
      <c r="D14" s="35" t="inlineStr">
        <is>
          <t>2026-08-04</t>
        </is>
      </c>
      <c r="E14" s="37" t="inlineStr">
        <is>
          <t>PO: PO-00016891
Accrued (Y/N &amp; Date): Y &amp; June 2026 
Invoice #: Videoguys SVG-18021</t>
        </is>
      </c>
    </row>
    <row r="15" ht="112" customHeight="1">
      <c r="A15" s="35" t="inlineStr">
        <is>
          <t>U20</t>
        </is>
      </c>
      <c r="B15" s="35" t="inlineStr">
        <is>
          <t>Note</t>
        </is>
      </c>
      <c r="C15" s="36" t="inlineStr">
        <is>
          <t>tc={432278A5-4123-4995-88E4-681666009693}</t>
        </is>
      </c>
      <c r="D15" s="35" t="inlineStr"/>
      <c r="E15" s="37" t="inlineStr">
        <is>
          <t>&lt;t&gt;[Threaded comment]
Your version of Excel allows you to read this threaded comment; however, any edits to it will get removed if the file is opened in a newer version of Excel. Learn more: https://go.microsoft.com/fwlink/?linkid=870924
Comment:
    PO: PO-00016891
Accrued (Y/N &amp; Date): Y &amp; June 2026 
Invoice #: Videoguys SVG-18021</t>
        </is>
      </c>
    </row>
    <row r="16" ht="42" customHeight="1">
      <c r="A16" s="35" t="inlineStr">
        <is>
          <t>V20</t>
        </is>
      </c>
      <c r="B16" s="35" t="inlineStr">
        <is>
          <t>Threaded</t>
        </is>
      </c>
      <c r="C16" s="36" t="inlineStr">
        <is>
          <t>Gianmaria  Gonzales-Yao</t>
        </is>
      </c>
      <c r="D16" s="35" t="inlineStr">
        <is>
          <t>2026-08-04</t>
        </is>
      </c>
      <c r="E16" s="37" t="inlineStr">
        <is>
          <t>PO: PO-00016891
Accrued (Y/N &amp; Date): Y &amp; June 2026 
Invoice #: Videoguys SVG-18021</t>
        </is>
      </c>
    </row>
    <row r="17" ht="112" customHeight="1">
      <c r="A17" s="35" t="inlineStr">
        <is>
          <t>V20</t>
        </is>
      </c>
      <c r="B17" s="35" t="inlineStr">
        <is>
          <t>Note</t>
        </is>
      </c>
      <c r="C17" s="36" t="inlineStr">
        <is>
          <t>tc={C95DCE37-33FF-4A28-8E75-6667F197CCE1}</t>
        </is>
      </c>
      <c r="D17" s="35" t="inlineStr"/>
      <c r="E17" s="37" t="inlineStr">
        <is>
          <t>&lt;t&gt;[Threaded comment]
Your version of Excel allows you to read this threaded comment; however, any edits to it will get removed if the file is opened in a newer version of Excel. Learn more: https://go.microsoft.com/fwlink/?linkid=870924
Comment:
    PO: PO-00016891
Accrued (Y/N &amp; Date): Y &amp; June 2026 
Invoice #: Videoguys SVG-18021</t>
        </is>
      </c>
    </row>
    <row r="18" ht="84" customHeight="1">
      <c r="A18" s="35" t="inlineStr">
        <is>
          <t>U21</t>
        </is>
      </c>
      <c r="B18" s="35" t="inlineStr">
        <is>
          <t>Note</t>
        </is>
      </c>
      <c r="C18" s="36" t="inlineStr">
        <is>
          <t>tc={D5B423E1-891A-42E0-AB10-E5B34B26421D}</t>
        </is>
      </c>
      <c r="D18" s="35" t="inlineStr"/>
      <c r="E18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Videoguys invoice SVG-18021</t>
        </is>
      </c>
    </row>
    <row r="19" ht="84" customHeight="1">
      <c r="A19" s="35" t="inlineStr">
        <is>
          <t>V21</t>
        </is>
      </c>
      <c r="B19" s="35" t="inlineStr">
        <is>
          <t>Note</t>
        </is>
      </c>
      <c r="C19" s="36" t="inlineStr">
        <is>
          <t>tc={E5112070-2700-4FA6-A16E-E69A2CC631FC}</t>
        </is>
      </c>
      <c r="D19" s="35" t="inlineStr"/>
      <c r="E19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Videoguys invoice SVG-18021</t>
        </is>
      </c>
    </row>
    <row r="20" ht="112" customHeight="1">
      <c r="A20" s="35" t="inlineStr">
        <is>
          <t>U22</t>
        </is>
      </c>
      <c r="B20" s="35" t="inlineStr">
        <is>
          <t>Note</t>
        </is>
      </c>
      <c r="C20" s="36" t="inlineStr">
        <is>
          <t>tc={F645B815-BC54-4739-8F08-E26362FA348E}</t>
        </is>
      </c>
      <c r="D20" s="35" t="inlineStr"/>
      <c r="E20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PO: Fredon PO-00016852 
Accrued (Y/N &amp; Date): Y &amp; April 2026 
Invoice #:</t>
        </is>
      </c>
    </row>
    <row r="21" ht="112" customHeight="1">
      <c r="A21" s="35" t="inlineStr">
        <is>
          <t>V22</t>
        </is>
      </c>
      <c r="B21" s="35" t="inlineStr">
        <is>
          <t>Note</t>
        </is>
      </c>
      <c r="C21" s="36" t="inlineStr">
        <is>
          <t>tc={464F0CEA-A369-43EC-8D87-09E13085EAF9}</t>
        </is>
      </c>
      <c r="D21" s="35" t="inlineStr"/>
      <c r="E21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PO: Fredon PO-00016852 
Accrued (Y/N &amp; Date): Y &amp; April 2026 
Invoice #:</t>
        </is>
      </c>
    </row>
    <row r="22" ht="112" customHeight="1">
      <c r="A22" s="35" t="inlineStr">
        <is>
          <t>U23</t>
        </is>
      </c>
      <c r="B22" s="35" t="inlineStr">
        <is>
          <t>Note</t>
        </is>
      </c>
      <c r="C22" s="36" t="inlineStr">
        <is>
          <t>tc={88B86C69-7FD4-4F41-92D1-98518D7CBDC0}</t>
        </is>
      </c>
      <c r="D22" s="35" t="inlineStr"/>
      <c r="E22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PO: Fredon Fredon - PO-00016855 
Accrued (Y/N &amp; Date): Y &amp; 30/06/2026
Invoice #:</t>
        </is>
      </c>
    </row>
    <row r="23" ht="14" customHeight="1">
      <c r="A23" s="35" t="inlineStr">
        <is>
          <t>V23</t>
        </is>
      </c>
      <c r="B23" s="35" t="inlineStr">
        <is>
          <t>Threaded</t>
        </is>
      </c>
      <c r="C23" s="36" t="inlineStr">
        <is>
          <t>Gianmaria  Gonzales-Yao</t>
        </is>
      </c>
      <c r="D23" s="35" t="inlineStr">
        <is>
          <t>2026-08-19</t>
        </is>
      </c>
      <c r="E23" s="37" t="inlineStr">
        <is>
          <t>Bill received on 14/08/2026 Inv 198300267</t>
        </is>
      </c>
    </row>
    <row r="24" ht="154" customHeight="1">
      <c r="A24" s="35" t="inlineStr">
        <is>
          <t>V23</t>
        </is>
      </c>
      <c r="B24" s="35" t="inlineStr">
        <is>
          <t>Note</t>
        </is>
      </c>
      <c r="C24" s="36" t="inlineStr">
        <is>
          <t>tc={580A4F97-8784-4209-89E5-D2BEA6549D1C}</t>
        </is>
      </c>
      <c r="D24" s="35" t="inlineStr"/>
      <c r="E24" s="37" t="inlineStr">
        <is>
          <t>&lt;t&gt;[Threaded comment]
Your version of Excel allows you to read this threaded comment; however, any edits to it will get removed if the file is opened in a newer version of Excel. Learn more: https://go.microsoft.com/fwlink/?linkid=870924
Comment:
    PO: Fredon Fredon - PO-00016855 
Accrued (Y/N &amp; Date): Y &amp; 30/06/2026
Invoice #: 
Reply:
    Bill received on 14/08/2026 Inv 198300267</t>
        </is>
      </c>
    </row>
    <row r="25" ht="140" customHeight="1">
      <c r="A25" s="35" t="inlineStr">
        <is>
          <t>U24</t>
        </is>
      </c>
      <c r="B25" s="35" t="inlineStr">
        <is>
          <t>Note</t>
        </is>
      </c>
      <c r="C25" s="36" t="inlineStr">
        <is>
          <t>tc={6ECBC017-4130-435D-BF00-5BE2F45103A6}</t>
        </is>
      </c>
      <c r="D25" s="35" t="inlineStr"/>
      <c r="E25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PO: Fredon Fredon - PO-00016855 
Accrued (Y/N &amp; Date): Y &amp; 30/06/2026
Invoice #: 
Reply:
    Fredon INV11S-26080021</t>
        </is>
      </c>
    </row>
    <row r="26" ht="112" customHeight="1">
      <c r="A26" s="35" t="inlineStr">
        <is>
          <t>V24</t>
        </is>
      </c>
      <c r="B26" s="35" t="inlineStr">
        <is>
          <t>Note</t>
        </is>
      </c>
      <c r="C26" s="36" t="inlineStr">
        <is>
          <t>tc={A15634CA-358E-4BDB-8CDC-5487C2A57F2E}</t>
        </is>
      </c>
      <c r="D26" s="35" t="inlineStr"/>
      <c r="E26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PO: Fredon - PO-00016856 
Accrued (Y/N &amp; Date): Y &amp; 30/06/2026
Invoice #: INV11S-26080021</t>
        </is>
      </c>
    </row>
    <row r="27" ht="112" customHeight="1">
      <c r="A27" s="35" t="inlineStr">
        <is>
          <t>U25</t>
        </is>
      </c>
      <c r="B27" s="35" t="inlineStr">
        <is>
          <t>Note</t>
        </is>
      </c>
      <c r="C27" s="36" t="inlineStr">
        <is>
          <t>tc={E8AFBB0D-66C7-43D8-AC34-ADEAC8B82E3A}</t>
        </is>
      </c>
      <c r="D27" s="35" t="inlineStr"/>
      <c r="E27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PO: Fredon - PO-00016857 
Accrued (Y/N &amp; Date): Y &amp; 30/06/2026
Invoice #:</t>
        </is>
      </c>
    </row>
    <row r="28" ht="112" customHeight="1">
      <c r="A28" s="35" t="inlineStr">
        <is>
          <t>V25</t>
        </is>
      </c>
      <c r="B28" s="35" t="inlineStr">
        <is>
          <t>Note</t>
        </is>
      </c>
      <c r="C28" s="36" t="inlineStr">
        <is>
          <t>tc={12399B37-19EB-49AC-9FC8-419497837192}</t>
        </is>
      </c>
      <c r="D28" s="35" t="inlineStr"/>
      <c r="E28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PO: Fredon - PO-00016857 
Accrued (Y/N &amp; Date): Y &amp; 30/06/2026
Invoice #:</t>
        </is>
      </c>
    </row>
    <row r="29" ht="28" customHeight="1">
      <c r="A29" s="35" t="inlineStr">
        <is>
          <t>U26</t>
        </is>
      </c>
      <c r="B29" s="35" t="inlineStr">
        <is>
          <t>Threaded</t>
        </is>
      </c>
      <c r="C29" s="36" t="inlineStr">
        <is>
          <t>Emelda Waiya</t>
        </is>
      </c>
      <c r="D29" s="35" t="inlineStr">
        <is>
          <t>2026-08-04</t>
        </is>
      </c>
      <c r="E29" s="37" t="inlineStr">
        <is>
          <t>Fredon INV11S-26080019 
WIP: Reverse</t>
        </is>
      </c>
    </row>
    <row r="30" ht="98" customHeight="1">
      <c r="A30" s="35" t="inlineStr">
        <is>
          <t>U26</t>
        </is>
      </c>
      <c r="B30" s="35" t="inlineStr">
        <is>
          <t>Note</t>
        </is>
      </c>
      <c r="C30" s="36" t="inlineStr">
        <is>
          <t>tc={3C7D3A40-B297-4077-BD0A-F71143DF873E}</t>
        </is>
      </c>
      <c r="D30" s="35" t="inlineStr"/>
      <c r="E30" s="37" t="inlineStr">
        <is>
          <t>&lt;t&gt;[Threaded comment]
Your version of Excel allows you to read this threaded comment; however, any edits to it will get removed if the file is opened in a newer version of Excel. Learn more: https://go.microsoft.com/fwlink/?linkid=870924
Comment:
    Fredon INV11S-26080019 
WIP: Reverse</t>
        </is>
      </c>
    </row>
    <row r="31" ht="28" customHeight="1">
      <c r="A31" s="35" t="inlineStr">
        <is>
          <t>V26</t>
        </is>
      </c>
      <c r="B31" s="35" t="inlineStr">
        <is>
          <t>Threaded</t>
        </is>
      </c>
      <c r="C31" s="36" t="inlineStr">
        <is>
          <t>Emelda Waiya</t>
        </is>
      </c>
      <c r="D31" s="35" t="inlineStr">
        <is>
          <t>2026-08-04</t>
        </is>
      </c>
      <c r="E31" s="37" t="inlineStr">
        <is>
          <t>Fredon INV11S-26080019 
WIP: Reverse</t>
        </is>
      </c>
    </row>
    <row r="32" ht="98" customHeight="1">
      <c r="A32" s="35" t="inlineStr">
        <is>
          <t>V26</t>
        </is>
      </c>
      <c r="B32" s="35" t="inlineStr">
        <is>
          <t>Note</t>
        </is>
      </c>
      <c r="C32" s="36" t="inlineStr">
        <is>
          <t>tc={D8C53BB3-AEDA-4676-9B21-8B249A5025E3}</t>
        </is>
      </c>
      <c r="D32" s="35" t="inlineStr"/>
      <c r="E32" s="37" t="inlineStr">
        <is>
          <t>&lt;t&gt;[Threaded comment]
Your version of Excel allows you to read this threaded comment; however, any edits to it will get removed if the file is opened in a newer version of Excel. Learn more: https://go.microsoft.com/fwlink/?linkid=870924
Comment:
    Fredon INV11S-26080019 
WIP: Reverse</t>
        </is>
      </c>
    </row>
    <row r="33" ht="112" customHeight="1">
      <c r="A33" s="35" t="inlineStr">
        <is>
          <t>V27</t>
        </is>
      </c>
      <c r="B33" s="35" t="inlineStr">
        <is>
          <t>Note</t>
        </is>
      </c>
      <c r="C33" s="36" t="inlineStr">
        <is>
          <t>tc={F9AAE1E7-E84D-4BCB-863D-5B44FA57F6DD}</t>
        </is>
      </c>
      <c r="D33" s="35" t="inlineStr"/>
      <c r="E33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PO: Fredon PO-00016897 
Accrued (Y/N &amp; Date): 
Invoice #:</t>
        </is>
      </c>
    </row>
    <row r="34" ht="112" customHeight="1">
      <c r="A34" s="35" t="inlineStr">
        <is>
          <t>U29</t>
        </is>
      </c>
      <c r="B34" s="35" t="inlineStr">
        <is>
          <t>Note</t>
        </is>
      </c>
      <c r="C34" s="36" t="inlineStr">
        <is>
          <t>tc={7905AD5A-56E7-4172-BD87-D176F2E31C49}</t>
        </is>
      </c>
      <c r="D34" s="35" t="inlineStr"/>
      <c r="E34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PO: no PO yet
Accrued (Y/N &amp; Date): Y &amp; July 2026 
Invoice #:</t>
        </is>
      </c>
    </row>
    <row r="35" ht="140" customHeight="1">
      <c r="A35" s="35" t="inlineStr">
        <is>
          <t>V29</t>
        </is>
      </c>
      <c r="B35" s="35" t="inlineStr">
        <is>
          <t>Note</t>
        </is>
      </c>
      <c r="C35" s="36" t="inlineStr">
        <is>
          <t>tc={9E2FFBE7-3071-479A-A6E8-09A0840A6836}</t>
        </is>
      </c>
      <c r="D35" s="35" t="inlineStr"/>
      <c r="E35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Invoice: Harvey Norman INV31004114902 - $5,529.10
PO: Crestron PO-00016909 $20,678.00  
Reply:
    Dicker Data INV7697713  $1,403.28</t>
        </is>
      </c>
    </row>
    <row r="36" ht="28" customHeight="1">
      <c r="A36" s="35" t="inlineStr">
        <is>
          <t>V30</t>
        </is>
      </c>
      <c r="B36" s="35" t="inlineStr">
        <is>
          <t>Threaded</t>
        </is>
      </c>
      <c r="C36" s="36" t="inlineStr">
        <is>
          <t>Emelda Waiya</t>
        </is>
      </c>
      <c r="D36" s="35" t="inlineStr">
        <is>
          <t>2026-08-04</t>
        </is>
      </c>
      <c r="E36" s="37" t="inlineStr">
        <is>
          <t>Invoice SOR-1404815 
Full invoice recieved</t>
        </is>
      </c>
    </row>
    <row r="37" ht="98" customHeight="1">
      <c r="A37" s="35" t="inlineStr">
        <is>
          <t>V30</t>
        </is>
      </c>
      <c r="B37" s="35" t="inlineStr">
        <is>
          <t>Note</t>
        </is>
      </c>
      <c r="C37" s="36" t="inlineStr">
        <is>
          <t>tc={BB87ACD6-893B-495E-B563-7829733592A3}</t>
        </is>
      </c>
      <c r="D37" s="35" t="inlineStr"/>
      <c r="E37" s="37" t="inlineStr">
        <is>
          <t>&lt;t&gt;[Threaded comment]
Your version of Excel allows you to read this threaded comment; however, any edits to it will get removed if the file is opened in a newer version of Excel. Learn more: https://go.microsoft.com/fwlink/?linkid=870924
Comment:
    Invoice SOR-1404815 
Full invoice recieved</t>
        </is>
      </c>
    </row>
    <row r="38" ht="112" customHeight="1">
      <c r="A38" s="35" t="inlineStr">
        <is>
          <t>AH31</t>
        </is>
      </c>
      <c r="B38" s="35" t="inlineStr">
        <is>
          <t>Note</t>
        </is>
      </c>
      <c r="C38" s="36" t="inlineStr">
        <is>
          <t>tc={B00BBD23-4E8F-414D-A202-A9DC0CE6AEB0}</t>
        </is>
      </c>
      <c r="D38" s="35" t="inlineStr"/>
      <c r="E38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Suzy Cue - Invoice No. 10590 ($2184.72)
Split between this event and PWC GB Webcast on 11.8.26</t>
        </is>
      </c>
    </row>
    <row r="39" ht="28" customHeight="1">
      <c r="A39" s="35" t="inlineStr">
        <is>
          <t>U31</t>
        </is>
      </c>
      <c r="B39" s="35" t="inlineStr">
        <is>
          <t>Threaded</t>
        </is>
      </c>
      <c r="C39" s="36" t="inlineStr">
        <is>
          <t>Emelda Waiya</t>
        </is>
      </c>
      <c r="D39" s="35" t="inlineStr">
        <is>
          <t>2026-08-24</t>
        </is>
      </c>
      <c r="E39" s="37" t="inlineStr">
        <is>
          <t>AVIT INV016005230  
WIP: Reverse</t>
        </is>
      </c>
    </row>
    <row r="40" ht="98" customHeight="1">
      <c r="A40" s="35" t="inlineStr">
        <is>
          <t>U31</t>
        </is>
      </c>
      <c r="B40" s="35" t="inlineStr">
        <is>
          <t>Note</t>
        </is>
      </c>
      <c r="C40" s="36" t="inlineStr">
        <is>
          <t>tc={C23A94B4-0DFB-44CB-BCA5-60EBF5420128}</t>
        </is>
      </c>
      <c r="D40" s="35" t="inlineStr"/>
      <c r="E40" s="37" t="inlineStr">
        <is>
          <t>&lt;t&gt;[Threaded comment]
Your version of Excel allows you to read this threaded comment; however, any edits to it will get removed if the file is opened in a newer version of Excel. Learn more: https://go.microsoft.com/fwlink/?linkid=870924
Comment:
    AVIT INV016005230  
WIP: Reverse</t>
        </is>
      </c>
    </row>
    <row r="41" ht="84" customHeight="1">
      <c r="A41" s="35" t="inlineStr">
        <is>
          <t>V31</t>
        </is>
      </c>
      <c r="B41" s="35" t="inlineStr">
        <is>
          <t>Note</t>
        </is>
      </c>
      <c r="C41" s="36" t="inlineStr">
        <is>
          <t>tc={5DFA6BBF-FA44-4112-91A3-8C485BAA780C}</t>
        </is>
      </c>
      <c r="D41" s="35" t="inlineStr"/>
      <c r="E41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TAG INV360930</t>
        </is>
      </c>
    </row>
    <row r="42" ht="14" customHeight="1">
      <c r="A42" s="35" t="inlineStr">
        <is>
          <t>W32</t>
        </is>
      </c>
      <c r="B42" s="35" t="inlineStr">
        <is>
          <t>Threaded</t>
        </is>
      </c>
      <c r="C42" s="36" t="inlineStr">
        <is>
          <t>Gianmaria  Gonzales-Yao</t>
        </is>
      </c>
      <c r="D42" s="35" t="inlineStr">
        <is>
          <t>2026-08-07</t>
        </is>
      </c>
      <c r="E42" s="37" t="inlineStr">
        <is>
          <t>INV-86016 received in full</t>
        </is>
      </c>
    </row>
    <row r="43" ht="154" customHeight="1">
      <c r="A43" s="35" t="inlineStr">
        <is>
          <t>W32</t>
        </is>
      </c>
      <c r="B43" s="35" t="inlineStr">
        <is>
          <t>Note</t>
        </is>
      </c>
      <c r="C43" s="36" t="inlineStr">
        <is>
          <t>tc={EB43A1B5-EAE3-47BB-9676-0D23A0BE733C}</t>
        </is>
      </c>
      <c r="D43" s="35" t="inlineStr"/>
      <c r="E43" s="37" t="inlineStr">
        <is>
          <t>&lt;t&gt;[Threaded comment]
Your version of Excel allows you to read this threaded comment; however, any edits to it will get removed if the file is opened in a newer version of Excel. Learn more: https://go.microsoft.com/fwlink/?linkid=870924
Comment:
    PO: PO-00016904 
Accrued (Y/N &amp; Date): Y &amp; 31/07/2026
Invoice #: 
Reply:
    INV-86016 received in full</t>
        </is>
      </c>
    </row>
    <row r="44" ht="84" customHeight="1">
      <c r="A44" s="35" t="inlineStr">
        <is>
          <t>V33</t>
        </is>
      </c>
      <c r="B44" s="35" t="inlineStr">
        <is>
          <t>Note</t>
        </is>
      </c>
      <c r="C44" s="36" t="inlineStr">
        <is>
          <t>tc={0D0FBC52-D318-4A42-ABA8-ABCABC7BB662}</t>
        </is>
      </c>
      <c r="D44" s="35" t="inlineStr"/>
      <c r="E44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Dicker Data invoice INV7647226</t>
        </is>
      </c>
    </row>
    <row r="45" ht="84" customHeight="1">
      <c r="A45" s="35" t="inlineStr">
        <is>
          <t>AH34</t>
        </is>
      </c>
      <c r="B45" s="35" t="inlineStr">
        <is>
          <t>Note</t>
        </is>
      </c>
      <c r="C45" s="36" t="inlineStr">
        <is>
          <t>tc={10CDAE97-637B-490F-8488-E90CF32FE6F3}</t>
        </is>
      </c>
      <c r="D45" s="35" t="inlineStr"/>
      <c r="E45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Suzy Cue - Invoice No. 10590 ($2184.72)</t>
        </is>
      </c>
    </row>
    <row r="46" ht="112" customHeight="1">
      <c r="A46" s="35" t="inlineStr">
        <is>
          <t>V34</t>
        </is>
      </c>
      <c r="B46" s="35" t="inlineStr">
        <is>
          <t>Note</t>
        </is>
      </c>
      <c r="C46" s="36" t="inlineStr">
        <is>
          <t>tc={D7B7D7FF-FA79-453C-A13A-4F147DD756B1}</t>
        </is>
      </c>
      <c r="D46" s="35" t="inlineStr"/>
      <c r="E46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PO: Complete AV PO-00016902
Accrued (Y/N &amp; Date): N
Invoice #: 31407</t>
        </is>
      </c>
    </row>
    <row r="47" ht="140" customHeight="1">
      <c r="A47" s="35" t="inlineStr">
        <is>
          <t>AF35</t>
        </is>
      </c>
      <c r="B47" s="35" t="inlineStr">
        <is>
          <t>Note</t>
        </is>
      </c>
      <c r="C47" s="36" t="inlineStr">
        <is>
          <t>tc={AED2653A-DF10-4A30-9F91-ECA455B08BCC}</t>
        </is>
      </c>
      <c r="D47" s="35" t="inlineStr"/>
      <c r="E47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@Gianmaria  Gonzales-Yao - could you just check the Vid allocations as the other Tracker has an amount of $3047 and we have $1600- maybe my allocations are incorrect?</t>
        </is>
      </c>
    </row>
    <row r="48" ht="28" customHeight="1">
      <c r="A48" s="35" t="inlineStr">
        <is>
          <t>AH35</t>
        </is>
      </c>
      <c r="B48" s="35" t="inlineStr">
        <is>
          <t>Threaded</t>
        </is>
      </c>
      <c r="C48" s="36" t="inlineStr">
        <is>
          <t>Mitchell Healey</t>
        </is>
      </c>
      <c r="D48" s="35" t="inlineStr">
        <is>
          <t>2026-08-31</t>
        </is>
      </c>
      <c r="E48" s="37" t="inlineStr">
        <is>
          <t>Riedel INVOICE # : 00010213
($980.16)</t>
        </is>
      </c>
    </row>
    <row r="49" ht="98" customHeight="1">
      <c r="A49" s="35" t="inlineStr">
        <is>
          <t>AH35</t>
        </is>
      </c>
      <c r="B49" s="35" t="inlineStr">
        <is>
          <t>Note</t>
        </is>
      </c>
      <c r="C49" s="36" t="inlineStr">
        <is>
          <t>tc={E6A7C08C-C05A-428C-965B-51FB53D9A92D}</t>
        </is>
      </c>
      <c r="D49" s="35" t="inlineStr"/>
      <c r="E49" s="37" t="inlineStr">
        <is>
          <t>&lt;t&gt;[Threaded comment]
Your version of Excel allows you to read this threaded comment; however, any edits to it will get removed if the file is opened in a newer version of Excel. Learn more: https://go.microsoft.com/fwlink/?linkid=870924
Comment:
    Riedel INVOICE # : 00010213
($980.16)</t>
        </is>
      </c>
    </row>
    <row r="50" ht="112" customHeight="1">
      <c r="A50" s="35" t="inlineStr">
        <is>
          <t>U35</t>
        </is>
      </c>
      <c r="B50" s="35" t="inlineStr">
        <is>
          <t>Note</t>
        </is>
      </c>
      <c r="C50" s="36" t="inlineStr">
        <is>
          <t>tc={3136511E-86B4-4EC6-A835-AFA87448BA0E}</t>
        </is>
      </c>
      <c r="D50" s="35" t="inlineStr"/>
      <c r="E50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PO: Dicker Data PO-00016928
Accrued (Y/N &amp; Date): Y &amp; 21/08/2026
Invoice #:</t>
        </is>
      </c>
    </row>
    <row r="51" ht="112" customHeight="1">
      <c r="A51" s="35" t="inlineStr">
        <is>
          <t>V35</t>
        </is>
      </c>
      <c r="B51" s="35" t="inlineStr">
        <is>
          <t>Note</t>
        </is>
      </c>
      <c r="C51" s="36" t="inlineStr">
        <is>
          <t>tc={02513043-4B30-4682-AFBB-8C49A4358188}</t>
        </is>
      </c>
      <c r="D51" s="35" t="inlineStr"/>
      <c r="E51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PO: Dicker Data PO-00016927
Accrued (Y/N &amp; Date): y &amp; 21/08/2026
Invoice #:</t>
        </is>
      </c>
    </row>
    <row r="52" ht="28" customHeight="1">
      <c r="A52" s="35" t="inlineStr">
        <is>
          <t>AH36</t>
        </is>
      </c>
      <c r="B52" s="35" t="inlineStr">
        <is>
          <t>Threaded</t>
        </is>
      </c>
      <c r="C52" s="36" t="inlineStr">
        <is>
          <t>Mitchell Healey</t>
        </is>
      </c>
      <c r="D52" s="35" t="inlineStr">
        <is>
          <t>2026-08-31</t>
        </is>
      </c>
      <c r="E52" s="37" t="inlineStr">
        <is>
          <t>AI Media Captioning Tax Invoice No. 21970
($850)</t>
        </is>
      </c>
    </row>
    <row r="53" ht="126" customHeight="1">
      <c r="A53" s="35" t="inlineStr">
        <is>
          <t>AH36</t>
        </is>
      </c>
      <c r="B53" s="35" t="inlineStr">
        <is>
          <t>Note</t>
        </is>
      </c>
      <c r="C53" s="36" t="inlineStr">
        <is>
          <t>tc={654956BE-59AB-4928-B21D-552879291475}</t>
        </is>
      </c>
      <c r="D53" s="35" t="inlineStr"/>
      <c r="E53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AI Media Captioning Tax Invoice No. 21970
($850)
Reply:
    Chorus Call Invoice 02-82168 ($87.84) &amp; Invoice 02-82169 ($1398.36)</t>
        </is>
      </c>
    </row>
    <row r="54" ht="112" customHeight="1">
      <c r="A54" s="35" t="inlineStr">
        <is>
          <t>U36</t>
        </is>
      </c>
      <c r="B54" s="35" t="inlineStr">
        <is>
          <t>Note</t>
        </is>
      </c>
      <c r="C54" s="36" t="inlineStr">
        <is>
          <t>tc={40400985-DC8F-420D-84FE-A2A087290B7C}</t>
        </is>
      </c>
      <c r="D54" s="35" t="inlineStr"/>
      <c r="E54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PO: Dicker Data PO-00016928 
Accrued (Y/N &amp; Date): Y &amp; 19/08/2026
Invoice #:</t>
        </is>
      </c>
    </row>
    <row r="55" ht="112" customHeight="1">
      <c r="A55" s="35" t="inlineStr">
        <is>
          <t>V36</t>
        </is>
      </c>
      <c r="B55" s="35" t="inlineStr">
        <is>
          <t>Note</t>
        </is>
      </c>
      <c r="C55" s="36" t="inlineStr">
        <is>
          <t>tc={E5D927D0-DF6C-4697-BB5C-4C052B5CC2D0}</t>
        </is>
      </c>
      <c r="D55" s="35" t="inlineStr"/>
      <c r="E55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PO: Dicker Data PO-00016927  
Accrued (Y/N &amp; Date): Y &amp; 19/08/2026
Invoice #:</t>
        </is>
      </c>
    </row>
    <row r="56" ht="84" customHeight="1">
      <c r="A56" s="35" t="inlineStr">
        <is>
          <t>AA37</t>
        </is>
      </c>
      <c r="B56" s="35" t="inlineStr">
        <is>
          <t>Note</t>
        </is>
      </c>
      <c r="C56" s="36" t="inlineStr">
        <is>
          <t>tc={0A2845B9-525D-44DF-A137-CA940C1379EC}</t>
        </is>
      </c>
      <c r="D56" s="35" t="inlineStr"/>
      <c r="E56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Webcast Operator 9 Hours PROD</t>
        </is>
      </c>
    </row>
    <row r="57" ht="154" customHeight="1">
      <c r="A57" s="35" t="inlineStr">
        <is>
          <t>AH37</t>
        </is>
      </c>
      <c r="B57" s="35" t="inlineStr">
        <is>
          <t>Note</t>
        </is>
      </c>
      <c r="C57" s="36" t="inlineStr">
        <is>
          <t>tc={0C1579BE-A923-4C6D-83F6-72EB1781AC3D}</t>
        </is>
      </c>
      <c r="D57" s="35" t="inlineStr"/>
      <c r="E57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Hire Intelligence Invoice No: CS166507 (66% of $2120) 
Reply:
    Chorus Call Invoice 02-82170 ($1737.72) 
Reply:
    TypeTranscripts Invoice - 6032
(Total $608.40 but included ASX) - $369.20 being AGL</t>
        </is>
      </c>
    </row>
    <row r="58" ht="182" customHeight="1">
      <c r="A58" s="35" t="inlineStr">
        <is>
          <t>U37</t>
        </is>
      </c>
      <c r="B58" s="35" t="inlineStr">
        <is>
          <t>Note</t>
        </is>
      </c>
      <c r="C58" s="36" t="inlineStr">
        <is>
          <t>tc={F738CB12-40B5-479D-A6AD-5FD1009E72B1}</t>
        </is>
      </c>
      <c r="D58" s="35" t="inlineStr"/>
      <c r="E58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PO: Complete AV PO-00016905 
Accrued (Y/N &amp; Date): N
Invoice #: 
Reply:
    PO: Complete AV PO-00016905 
Accrued (Y/N &amp; Date): Y &amp; 19/08/2026
Invoice #:</t>
        </is>
      </c>
    </row>
    <row r="59" ht="336" customHeight="1">
      <c r="A59" s="35" t="inlineStr">
        <is>
          <t>V37</t>
        </is>
      </c>
      <c r="B59" s="35" t="inlineStr">
        <is>
          <t>Note</t>
        </is>
      </c>
      <c r="C59" s="36" t="inlineStr">
        <is>
          <t>tc={CEF1B43F-600E-48CB-B70D-2A5868A0F46F}</t>
        </is>
      </c>
      <c r="D59" s="35" t="inlineStr"/>
      <c r="E59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PO: Crestron PO-00016916 $6,993.00 
Accrued (Y/N &amp; Date): Y &amp; 18/08/2026
Invoice #: 
PO: Midwich PO-00016919 $1322
Accrued (Y/N &amp; Date): Y &amp; 18/08/2026
Invoice #: 
PO: Leading Solutions PO-00016918 $166.45 
Accrued (Y/N &amp; Date): Y &amp; 18/08/2026
Invoice #: 
PO: Dicker Data PO-00016917 $151.95
Accrued (Y/N &amp; Date): Y &amp; 18/08/2026
Invoice #: 
PO: Midwich PO-00016919 $1322
Accrued (Y/N &amp; Date): Y &amp; 18/08/2026
Invoice #: SO-MWAU11187</t>
        </is>
      </c>
    </row>
    <row r="60" ht="84" customHeight="1">
      <c r="A60" s="35" t="inlineStr">
        <is>
          <t>AA38</t>
        </is>
      </c>
      <c r="B60" s="35" t="inlineStr">
        <is>
          <t>Note</t>
        </is>
      </c>
      <c r="C60" s="36" t="inlineStr">
        <is>
          <t>tc={3F64684F-A100-40C7-AD96-67E61BA9C235}</t>
        </is>
      </c>
      <c r="D60" s="35" t="inlineStr"/>
      <c r="E60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Webcast Operator 9 Hours PROD</t>
        </is>
      </c>
    </row>
    <row r="61" ht="84" customHeight="1">
      <c r="A61" s="35" t="inlineStr">
        <is>
          <t>AH38</t>
        </is>
      </c>
      <c r="B61" s="35" t="inlineStr">
        <is>
          <t>Note</t>
        </is>
      </c>
      <c r="C61" s="36" t="inlineStr">
        <is>
          <t>tc={2BF254E8-3C48-4DCE-90D0-5411E5EFDA0E}</t>
        </is>
      </c>
      <c r="D61" s="35" t="inlineStr"/>
      <c r="E61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Hire Intelligence Invoice No: CS166507 (33% of $2120)</t>
        </is>
      </c>
    </row>
    <row r="62" ht="14" customHeight="1">
      <c r="A62" s="35" t="inlineStr">
        <is>
          <t>V38</t>
        </is>
      </c>
      <c r="B62" s="35" t="inlineStr">
        <is>
          <t>Threaded</t>
        </is>
      </c>
      <c r="C62" s="36" t="inlineStr">
        <is>
          <t>Emelda Waiya</t>
        </is>
      </c>
      <c r="D62" s="35" t="inlineStr">
        <is>
          <t>2026-08-27</t>
        </is>
      </c>
      <c r="E62" s="37" t="inlineStr">
        <is>
          <t>Crestron invoice INV950917698  $2500</t>
        </is>
      </c>
    </row>
    <row r="63" ht="14" customHeight="1">
      <c r="A63" s="35" t="inlineStr">
        <is>
          <t>V38</t>
        </is>
      </c>
      <c r="B63" s="35" t="inlineStr">
        <is>
          <t>Threaded</t>
        </is>
      </c>
      <c r="C63" s="36" t="inlineStr">
        <is>
          <t>Emelda Waiya</t>
        </is>
      </c>
      <c r="D63" s="35" t="inlineStr">
        <is>
          <t>2026-08-27</t>
        </is>
      </c>
      <c r="E63" s="37" t="inlineStr">
        <is>
          <t>@Daniel Sobkowski Hi Dan, could you please advise if we are purchasing any other items apart from Crestron as it seems you have put $2647 but the Crestron invoice is only $2500?</t>
        </is>
      </c>
    </row>
    <row r="64" ht="224" customHeight="1">
      <c r="A64" s="35" t="inlineStr">
        <is>
          <t>V38</t>
        </is>
      </c>
      <c r="B64" s="35" t="inlineStr">
        <is>
          <t>Note</t>
        </is>
      </c>
      <c r="C64" s="36" t="inlineStr">
        <is>
          <t>tc={1EB4EDE9-79C0-4E9D-8F61-F18EF3A03599}</t>
        </is>
      </c>
      <c r="D64" s="35" t="inlineStr"/>
      <c r="E64" s="37" t="inlineStr">
        <is>
          <t>&lt;t&gt;[Threaded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PO: Crestron PO-00016922
Accrued (Y/N &amp; Date): Y &amp; 19/08/2026
Invoice #: 
Reply:
    Crestron invoice INV950917698  $2500
Reply:
    @Daniel Sobkowski Hi Dan, could you please advise if we are purchasing any other items apart from Crestron as it seems you have put $2647 but the Crestron invoice is only $2500?</t>
        </is>
      </c>
    </row>
    <row r="65" ht="56" customHeight="1">
      <c r="A65" s="35" t="inlineStr">
        <is>
          <t>AH40</t>
        </is>
      </c>
      <c r="B65" s="35" t="inlineStr">
        <is>
          <t>Threaded</t>
        </is>
      </c>
      <c r="C65" s="36" t="inlineStr">
        <is>
          <t>Mitchell Healey</t>
        </is>
      </c>
      <c r="D65" s="35" t="inlineStr">
        <is>
          <t>2026-08-31</t>
        </is>
      </c>
      <c r="E65" s="37" t="inlineStr">
        <is>
          <t>Hire Intelligence - Invoice CS166508
($1465.60)
Wordbirds Autocue - Invoice 1971
($2359.54)</t>
        </is>
      </c>
    </row>
    <row r="66" ht="224" customHeight="1">
      <c r="A66" s="35" t="inlineStr">
        <is>
          <t>AH40</t>
        </is>
      </c>
      <c r="B66" s="35" t="inlineStr">
        <is>
          <t>Note</t>
        </is>
      </c>
      <c r="C66" s="36" t="inlineStr">
        <is>
          <t>tc={A0ABC931-20FF-4CD9-9ADB-473B42326840}</t>
        </is>
      </c>
      <c r="D66" s="35" t="inlineStr"/>
      <c r="E66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Hire Intelligence - Invoice CS166508
($1465.60)
Wordbirds Autocue - Invoice 1971
($2359.54)
Reply:
    Chorus Call - Invoice Invoice Number: 02-82171
($941.44)
We are also adding the previous $250 cancellation fee to this one from earlier in the year. 
Reply:
    TypeTranscripts Invoice - 6032
(Total $608.40 but included AGL) - $239.20 being ASX</t>
        </is>
      </c>
    </row>
    <row r="67" ht="42" customHeight="1">
      <c r="A67" s="35" t="inlineStr">
        <is>
          <t>U41</t>
        </is>
      </c>
      <c r="B67" s="35" t="inlineStr">
        <is>
          <t>Threaded</t>
        </is>
      </c>
      <c r="C67" s="36" t="inlineStr">
        <is>
          <t>Emelda Waiya</t>
        </is>
      </c>
      <c r="D67" s="35" t="inlineStr">
        <is>
          <t>2026-08-19</t>
        </is>
      </c>
      <c r="E67" s="37" t="inlineStr">
        <is>
          <t>PO: Complete AV PO-00016913 
Accrued (Y/N &amp; Date): Y &amp; 19/08/2026
Invoice #:</t>
        </is>
      </c>
    </row>
    <row r="68" ht="112" customHeight="1">
      <c r="A68" s="35" t="inlineStr">
        <is>
          <t>U41</t>
        </is>
      </c>
      <c r="B68" s="35" t="inlineStr">
        <is>
          <t>Note</t>
        </is>
      </c>
      <c r="C68" s="36" t="inlineStr">
        <is>
          <t>tc={6244562F-3DAB-4D07-BC53-067A783EC98D}</t>
        </is>
      </c>
      <c r="D68" s="35" t="inlineStr"/>
      <c r="E68" s="37" t="inlineStr">
        <is>
          <t>&lt;t&gt;[Threaded comment]
Your version of Excel allows you to read this threaded comment; however, any edits to it will get removed if the file is opened in a newer version of Excel. Learn more: https://go.microsoft.com/fwlink/?linkid=870924
Comment:
    PO: Complete AV PO-00016913 
Accrued (Y/N &amp; Date): Y &amp; 19/08/2026
Invoice #:</t>
        </is>
      </c>
    </row>
    <row r="69" ht="126" customHeight="1">
      <c r="A69" s="35" t="inlineStr">
        <is>
          <t>AH42</t>
        </is>
      </c>
      <c r="B69" s="35" t="inlineStr">
        <is>
          <t>Note</t>
        </is>
      </c>
      <c r="C69" s="36" t="inlineStr">
        <is>
          <t>tc={9ACB1C3E-3CB7-4347-BFB2-D716DDA8CF71}</t>
        </is>
      </c>
      <c r="D69" s="35" t="inlineStr"/>
      <c r="E69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Chorus Call - Invoice Number: 02-82202 ($1,813.16) 
Reply:
    Type Transcrips - Invoice 6036
$353.60</t>
        </is>
      </c>
    </row>
    <row r="70" ht="42" customHeight="1">
      <c r="A70" s="35" t="inlineStr">
        <is>
          <t>V42</t>
        </is>
      </c>
      <c r="B70" s="35" t="inlineStr">
        <is>
          <t>Threaded</t>
        </is>
      </c>
      <c r="C70" s="36" t="inlineStr">
        <is>
          <t>Emelda Waiya</t>
        </is>
      </c>
      <c r="D70" s="35" t="inlineStr">
        <is>
          <t>2026-08-20</t>
        </is>
      </c>
      <c r="E70" s="37" t="inlineStr">
        <is>
          <t>PO: Dicker Data PO-00016924 
Accrued (Y/N &amp; Date): Y &amp; 20/08/2026
Invoice #:</t>
        </is>
      </c>
    </row>
    <row r="71" ht="140" customHeight="1">
      <c r="A71" s="35" t="inlineStr">
        <is>
          <t>V42</t>
        </is>
      </c>
      <c r="B71" s="35" t="inlineStr">
        <is>
          <t>Note</t>
        </is>
      </c>
      <c r="C71" s="36" t="inlineStr">
        <is>
          <t>tc={D8992ED2-5B5D-4331-BD5C-7B20B4C889B8}</t>
        </is>
      </c>
      <c r="D71" s="35" t="inlineStr"/>
      <c r="E71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PO: Dicker Data PO-00016924 
Accrued (Y/N &amp; Date): Y &amp; 20/08/2026
Invoice #:
Reply:
    Invoice INV7697058</t>
        </is>
      </c>
    </row>
    <row r="72" ht="112" customHeight="1">
      <c r="A72" s="35" t="inlineStr">
        <is>
          <t>V43</t>
        </is>
      </c>
      <c r="B72" s="35" t="inlineStr">
        <is>
          <t>Note</t>
        </is>
      </c>
      <c r="C72" s="36" t="inlineStr">
        <is>
          <t>tc={AD87BDBB-D3B6-48F7-A511-44CD3960CF3D}</t>
        </is>
      </c>
      <c r="D72" s="35" t="inlineStr"/>
      <c r="E72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PO: Concept AV PO-00016929 
Accrued (Y/N &amp; Date): N
Invoice #:</t>
        </is>
      </c>
    </row>
    <row r="73" ht="84" customHeight="1">
      <c r="A73" s="35" t="inlineStr">
        <is>
          <t>AA45</t>
        </is>
      </c>
      <c r="B73" s="35" t="inlineStr">
        <is>
          <t>Note</t>
        </is>
      </c>
      <c r="C73" s="36" t="inlineStr">
        <is>
          <t>tc={7C44114B-99D0-4C56-BD7A-183319910702}</t>
        </is>
      </c>
      <c r="D73" s="35" t="inlineStr"/>
      <c r="E73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Plus webcasting Delivery quotation</t>
        </is>
      </c>
    </row>
    <row r="74" ht="28" customHeight="1">
      <c r="A74" s="35" t="inlineStr">
        <is>
          <t>AH45</t>
        </is>
      </c>
      <c r="B74" s="35" t="inlineStr">
        <is>
          <t>Threaded</t>
        </is>
      </c>
      <c r="C74" s="36" t="inlineStr">
        <is>
          <t>Mitchell Healey</t>
        </is>
      </c>
      <c r="D74" s="35" t="inlineStr">
        <is>
          <t>2026-08-31</t>
        </is>
      </c>
      <c r="E74" s="37" t="inlineStr">
        <is>
          <t>Headroom AV Invoice Number
INV-0017 ($2822.50)</t>
        </is>
      </c>
    </row>
    <row r="75" ht="168" customHeight="1">
      <c r="A75" s="35" t="inlineStr">
        <is>
          <t>AH45</t>
        </is>
      </c>
      <c r="B75" s="35" t="inlineStr">
        <is>
          <t>Note</t>
        </is>
      </c>
      <c r="C75" s="36" t="inlineStr">
        <is>
          <t>tc={BB22B8A5-56C3-428B-A108-FCFDBC34E75B}</t>
        </is>
      </c>
      <c r="D75" s="35" t="inlineStr"/>
      <c r="E75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Headroom AV Invoice Number
INV-0017 ($2822.50)
Reply:
    Chorus Call Teleconference Invoice 02-82207 ($1,179.36) 
Reply:
    Type Transcrips - Invoice 6036
$270.40</t>
        </is>
      </c>
    </row>
    <row r="76" ht="154" customHeight="1">
      <c r="A76" s="35" t="inlineStr">
        <is>
          <t>AH46</t>
        </is>
      </c>
      <c r="B76" s="35" t="inlineStr">
        <is>
          <t>Note</t>
        </is>
      </c>
      <c r="C76" s="36" t="inlineStr">
        <is>
          <t>tc={4BD19B7E-0A3E-4990-ADED-3CAC22D3E985}</t>
        </is>
      </c>
      <c r="D76" s="35" t="inlineStr"/>
      <c r="E76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Chorus Call Invoice - Invoice Number: 02-82223
($976.64)
Reply:
    Type Transcripts INVOICE NO. 6039
($244.40)</t>
        </is>
      </c>
    </row>
    <row r="77" ht="126" customHeight="1">
      <c r="A77" s="35" t="inlineStr">
        <is>
          <t>AH48</t>
        </is>
      </c>
      <c r="B77" s="35" t="inlineStr">
        <is>
          <t>Note</t>
        </is>
      </c>
      <c r="C77" s="36" t="inlineStr">
        <is>
          <t>tc={CB481D73-FC17-4A8A-950C-0047F8518B98}</t>
        </is>
      </c>
      <c r="D77" s="35" t="inlineStr"/>
      <c r="E77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Chorus Call - Invoice Number: 02-82224 ($1,342.92) 
Reply:
    Type Transcripts INVOICE NO. 6039
($462.80)</t>
        </is>
      </c>
    </row>
    <row r="78" ht="84" customHeight="1">
      <c r="A78" s="35" t="inlineStr">
        <is>
          <t>K48</t>
        </is>
      </c>
      <c r="B78" s="35" t="inlineStr">
        <is>
          <t>Note</t>
        </is>
      </c>
      <c r="C78" s="36" t="inlineStr">
        <is>
          <t>tc={2CEC4323-F5C9-4D66-B2BE-F8256FA7A3BA}</t>
        </is>
      </c>
      <c r="D78" s="35" t="inlineStr"/>
      <c r="E78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Previously invoiced package</t>
        </is>
      </c>
    </row>
    <row r="79" ht="28" customHeight="1">
      <c r="A79" s="35" t="inlineStr">
        <is>
          <t>AH49</t>
        </is>
      </c>
      <c r="B79" s="35" t="inlineStr">
        <is>
          <t>Threaded</t>
        </is>
      </c>
      <c r="C79" s="36" t="inlineStr">
        <is>
          <t>Mitchell Healey</t>
        </is>
      </c>
      <c r="D79" s="35" t="inlineStr">
        <is>
          <t>2026-08-31</t>
        </is>
      </c>
      <c r="E79" s="37" t="inlineStr">
        <is>
          <t>Hire Intelligence - Invoice CS166600
($784.50)</t>
        </is>
      </c>
    </row>
    <row r="80" ht="98" customHeight="1">
      <c r="A80" s="35" t="inlineStr">
        <is>
          <t>AH49</t>
        </is>
      </c>
      <c r="B80" s="35" t="inlineStr">
        <is>
          <t>Note</t>
        </is>
      </c>
      <c r="C80" s="36" t="inlineStr">
        <is>
          <t>tc={6429DDF6-8C32-406D-B076-0F72F2D4E071}</t>
        </is>
      </c>
      <c r="D80" s="35" t="inlineStr"/>
      <c r="E80" s="37" t="inlineStr">
        <is>
          <t>&lt;t&gt;[Threaded comment]
Your version of Excel allows you to read this threaded comment; however, any edits to it will get removed if the file is opened in a newer version of Excel. Learn more: https://go.microsoft.com/fwlink/?linkid=870924
Comment:
    Hire Intelligence - Invoice CS166600
($784.50)</t>
        </is>
      </c>
    </row>
    <row r="81" ht="84" customHeight="1">
      <c r="A81" s="35" t="inlineStr">
        <is>
          <t>K50</t>
        </is>
      </c>
      <c r="B81" s="35" t="inlineStr">
        <is>
          <t>Note</t>
        </is>
      </c>
      <c r="C81" s="36" t="inlineStr">
        <is>
          <t>tc={81AD2B60-1894-4C46-8BE8-3D00C49F8AE8}</t>
        </is>
      </c>
      <c r="D81" s="35" t="inlineStr"/>
      <c r="E81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Previously invoiced package</t>
        </is>
      </c>
    </row>
    <row r="82" ht="28" customHeight="1">
      <c r="A82" s="35" t="inlineStr">
        <is>
          <t>AH51</t>
        </is>
      </c>
      <c r="B82" s="35" t="inlineStr">
        <is>
          <t>Threaded</t>
        </is>
      </c>
      <c r="C82" s="36" t="inlineStr">
        <is>
          <t>Mitchell Healey</t>
        </is>
      </c>
      <c r="D82" s="35" t="inlineStr">
        <is>
          <t>2026-08-31</t>
        </is>
      </c>
      <c r="E82" s="37" t="inlineStr">
        <is>
          <t>Hire Intel Tax Invoice CS166632
($1350)</t>
        </is>
      </c>
    </row>
    <row r="83" ht="98" customHeight="1">
      <c r="A83" s="35" t="inlineStr">
        <is>
          <t>AH51</t>
        </is>
      </c>
      <c r="B83" s="35" t="inlineStr">
        <is>
          <t>Note</t>
        </is>
      </c>
      <c r="C83" s="36" t="inlineStr">
        <is>
          <t>tc={80977456-C2DA-4B9F-8530-B80CF4EFB1EF}</t>
        </is>
      </c>
      <c r="D83" s="35" t="inlineStr"/>
      <c r="E83" s="37" t="inlineStr">
        <is>
          <t>&lt;t&gt;[Threaded comment]
Your version of Excel allows you to read this threaded comment; however, any edits to it will get removed if the file is opened in a newer version of Excel. Learn more: https://go.microsoft.com/fwlink/?linkid=870924
Comment:
    Hire Intel Tax Invoice CS166632
($1350)</t>
        </is>
      </c>
    </row>
    <row r="84" ht="28" customHeight="1">
      <c r="A84" s="35" t="inlineStr">
        <is>
          <t>AH52</t>
        </is>
      </c>
      <c r="B84" s="35" t="inlineStr">
        <is>
          <t>Threaded</t>
        </is>
      </c>
      <c r="C84" s="36" t="inlineStr">
        <is>
          <t>Mitchell Healey</t>
        </is>
      </c>
      <c r="D84" s="35" t="inlineStr">
        <is>
          <t>2026-08-31</t>
        </is>
      </c>
      <c r="E84" s="37" t="inlineStr">
        <is>
          <t>WordBirds Invoice -  INV-1978
($831.25)</t>
        </is>
      </c>
    </row>
    <row r="85" ht="70" customHeight="1">
      <c r="A85" s="35" t="inlineStr">
        <is>
          <t>AH52</t>
        </is>
      </c>
      <c r="B85" s="35" t="inlineStr">
        <is>
          <t>Threaded</t>
        </is>
      </c>
      <c r="C85" s="36" t="inlineStr">
        <is>
          <t>Mitchell Healey</t>
        </is>
      </c>
      <c r="D85" s="35" t="inlineStr">
        <is>
          <t>2026-08-31</t>
        </is>
      </c>
      <c r="E85" s="37" t="inlineStr">
        <is>
          <t>Type Transcripts - INVOICE NO. 6041
($800.80) but Divided:
Ventia - $275.60
Symal - $234
Virgin - $275.60</t>
        </is>
      </c>
    </row>
    <row r="86" ht="238" customHeight="1">
      <c r="A86" s="35" t="inlineStr">
        <is>
          <t>AH52</t>
        </is>
      </c>
      <c r="B86" s="35" t="inlineStr">
        <is>
          <t>Note</t>
        </is>
      </c>
      <c r="C86" s="36" t="inlineStr">
        <is>
          <t>tc={049EB4F5-48B9-43D0-8B41-F4D97E4993BB}</t>
        </is>
      </c>
      <c r="D86" s="35" t="inlineStr"/>
      <c r="E86" s="37" t="inlineStr">
        <is>
          <t>&lt;t&gt;[Threaded comment]
Your version of Excel allows you to read this threaded comment; however, any edits to it will get removed if the file is opened in a newer version of Excel. Learn more: https://go.microsoft.com/fwlink/?linkid=870924
Comment:
    WordBirds Invoice -  INV-1978
($831.25)
Reply:
    Chorus Call Invoice Number: 02-82243 
($1196.24)
Reply:
    Type Transcripts - INVOICE NO. 6041
($800.80) but Divided:
Ventia - $275.60
Symal - $234
Virgin - $275.60</t>
        </is>
      </c>
    </row>
    <row r="87" ht="14" customHeight="1">
      <c r="A87" s="35" t="inlineStr">
        <is>
          <t>AF53</t>
        </is>
      </c>
      <c r="B87" s="35" t="inlineStr">
        <is>
          <t>Threaded</t>
        </is>
      </c>
      <c r="C87" s="36" t="inlineStr">
        <is>
          <t>Emelda Waiya</t>
        </is>
      </c>
      <c r="D87" s="35" t="inlineStr">
        <is>
          <t>2026-08-31</t>
        </is>
      </c>
      <c r="E87" s="37" t="inlineStr">
        <is>
          <t>@Mitchell Healey my video total is $1,785 including the Camera Director revenue</t>
        </is>
      </c>
    </row>
    <row r="88" ht="14" customHeight="1">
      <c r="A88" s="35" t="inlineStr">
        <is>
          <t>AF53</t>
        </is>
      </c>
      <c r="B88" s="35" t="inlineStr">
        <is>
          <t>Threaded</t>
        </is>
      </c>
      <c r="C88" s="36" t="inlineStr">
        <is>
          <t>Mitchell Healey</t>
        </is>
      </c>
      <c r="D88" s="35" t="inlineStr">
        <is>
          <t>2026-08-31</t>
        </is>
      </c>
      <c r="E88" s="37" t="inlineStr">
        <is>
          <t>@Emelda Waiya, Let's go with that then. The camera director is actually a vision switcher but for this month, video revenue is low so we can include in Video labour.</t>
        </is>
      </c>
    </row>
    <row r="89" ht="168" customHeight="1">
      <c r="A89" s="35" t="inlineStr">
        <is>
          <t>AF53</t>
        </is>
      </c>
      <c r="B89" s="35" t="inlineStr">
        <is>
          <t>Note</t>
        </is>
      </c>
      <c r="C89" s="36" t="inlineStr">
        <is>
          <t>tc={725B7A31-FB9C-40DB-8705-4FD29ED17AC9}</t>
        </is>
      </c>
      <c r="D89" s="35" t="inlineStr"/>
      <c r="E89" s="37" t="inlineStr">
        <is>
          <t>&lt;t&gt;[Threaded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@Mitchell Healey my video total is $1,785 including the Camera Director revenue
Reply:
    @Emelda Waiya, Let's go with that then. The camera director is actually a vision switcher but for this month, video revenue is low so we can include in Video labour.</t>
        </is>
      </c>
    </row>
    <row r="90" ht="28" customHeight="1">
      <c r="A90" s="35" t="inlineStr">
        <is>
          <t>AH53</t>
        </is>
      </c>
      <c r="B90" s="35" t="inlineStr">
        <is>
          <t>Threaded</t>
        </is>
      </c>
      <c r="C90" s="36" t="inlineStr">
        <is>
          <t>Mitchell Healey</t>
        </is>
      </c>
      <c r="D90" s="35" t="inlineStr">
        <is>
          <t>2026-08-31</t>
        </is>
      </c>
      <c r="E90" s="37" t="inlineStr">
        <is>
          <t>AusStage Quote CORTECSE00167 
$14745.30</t>
        </is>
      </c>
    </row>
    <row r="91" ht="98" customHeight="1">
      <c r="A91" s="35" t="inlineStr">
        <is>
          <t>AH53</t>
        </is>
      </c>
      <c r="B91" s="35" t="inlineStr">
        <is>
          <t>Note</t>
        </is>
      </c>
      <c r="C91" s="36" t="inlineStr">
        <is>
          <t>tc={DCBB289E-22AB-4CD0-AC51-BA080E8251C0}</t>
        </is>
      </c>
      <c r="D91" s="35" t="inlineStr"/>
      <c r="E91" s="37" t="inlineStr">
        <is>
          <t>&lt;t&gt;[Threaded comment]
Your version of Excel allows you to read this threaded comment; however, any edits to it will get removed if the file is opened in a newer version of Excel. Learn more: https://go.microsoft.com/fwlink/?linkid=870924
Comment:
    AusStage Quote CORTECSE00167 
$14745.30</t>
        </is>
      </c>
    </row>
    <row r="92" ht="28" customHeight="1">
      <c r="A92" s="35" t="inlineStr">
        <is>
          <t>AH54</t>
        </is>
      </c>
      <c r="B92" s="35" t="inlineStr">
        <is>
          <t>Threaded</t>
        </is>
      </c>
      <c r="C92" s="36" t="inlineStr">
        <is>
          <t>Mitchell Healey</t>
        </is>
      </c>
      <c r="D92" s="35" t="inlineStr">
        <is>
          <t>2026-08-31</t>
        </is>
      </c>
      <c r="E92" s="37" t="inlineStr">
        <is>
          <t>Headroom AV - Invoice 0024
($1640.00)</t>
        </is>
      </c>
    </row>
    <row r="93" ht="70" customHeight="1">
      <c r="A93" s="35" t="inlineStr">
        <is>
          <t>AH54</t>
        </is>
      </c>
      <c r="B93" s="35" t="inlineStr">
        <is>
          <t>Threaded</t>
        </is>
      </c>
      <c r="C93" s="36" t="inlineStr">
        <is>
          <t>Mitchell Healey</t>
        </is>
      </c>
      <c r="D93" s="35" t="inlineStr">
        <is>
          <t>2026-08-31</t>
        </is>
      </c>
      <c r="E93" s="37" t="inlineStr">
        <is>
          <t>Type Transcripts - INVOICE NO. 6041
($800.80) but Divided:
Ventia - $275.60
Symal - $234
Virgin - $275.60</t>
        </is>
      </c>
    </row>
    <row r="94" ht="182" customHeight="1">
      <c r="A94" s="35" t="inlineStr">
        <is>
          <t>AH54</t>
        </is>
      </c>
      <c r="B94" s="35" t="inlineStr">
        <is>
          <t>Note</t>
        </is>
      </c>
      <c r="C94" s="36" t="inlineStr">
        <is>
          <t>tc={61F0DDC6-FB43-4E9C-BBF5-671D67EAAD41}</t>
        </is>
      </c>
      <c r="D94" s="35" t="inlineStr"/>
      <c r="E94" s="37" t="inlineStr">
        <is>
          <t>&lt;t&gt;[Threaded comment]
Your version of Excel allows you to read this threaded comment; however, any edits to it will get removed if the file is opened in a newer version of Excel. Learn more: https://go.microsoft.com/fwlink/?linkid=870924
Comment:
    Headroom AV - Invoice 0024
($1640.00)
Reply:
    Type Transcripts - INVOICE NO. 6041
($800.80) but Divided:
Ventia - $275.60
Symal - $234
Virgin - $275.60</t>
        </is>
      </c>
    </row>
    <row r="95" ht="28" customHeight="1">
      <c r="A95" s="35" t="inlineStr">
        <is>
          <t>AH57</t>
        </is>
      </c>
      <c r="B95" s="35" t="inlineStr">
        <is>
          <t>Threaded</t>
        </is>
      </c>
      <c r="C95" s="36" t="inlineStr">
        <is>
          <t>Mitchell Healey</t>
        </is>
      </c>
      <c r="D95" s="35" t="inlineStr">
        <is>
          <t>2026-08-31</t>
        </is>
      </c>
      <c r="E95" s="37" t="inlineStr">
        <is>
          <t>VAST AV Order Number QU01788
($2955)</t>
        </is>
      </c>
    </row>
    <row r="96" ht="266" customHeight="1">
      <c r="A96" s="35" t="inlineStr">
        <is>
          <t>AH57</t>
        </is>
      </c>
      <c r="B96" s="35" t="inlineStr">
        <is>
          <t>Note</t>
        </is>
      </c>
      <c r="C96" s="36" t="inlineStr">
        <is>
          <t>tc={CE561B30-9DCE-4A33-B592-9802BF84385D}</t>
        </is>
      </c>
      <c r="D96" s="35" t="inlineStr"/>
      <c r="E96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VAST AV Order Number QU01788
($2955)
Reply:
    Chorus Call Invoices:
Invoice Number: 02-82299 - ($902.96)
Invoice Number: 02-82300
($600.72)
Reply:
    Type Transcripts - INVOICE NO. 6041
($800.80) but Divided:
Ventia - $275.60
Symal - $234
Virgin - $275.60</t>
        </is>
      </c>
    </row>
    <row r="97" ht="84" customHeight="1">
      <c r="A97" s="35" t="inlineStr">
        <is>
          <t>U59</t>
        </is>
      </c>
      <c r="B97" s="35" t="inlineStr">
        <is>
          <t>Note</t>
        </is>
      </c>
      <c r="C97" s="36" t="inlineStr">
        <is>
          <t>tc={8341720E-0468-4E19-A3C2-19424F79EA74}</t>
        </is>
      </c>
      <c r="D97" s="35" t="inlineStr"/>
      <c r="E97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Dicker Data INV7620669</t>
        </is>
      </c>
    </row>
    <row r="98" ht="14" customHeight="1">
      <c r="A98" s="35" t="inlineStr">
        <is>
          <t>V59</t>
        </is>
      </c>
      <c r="B98" s="35" t="inlineStr">
        <is>
          <t>Threaded</t>
        </is>
      </c>
      <c r="C98" s="36" t="inlineStr">
        <is>
          <t>Gianmaria  Gonzales-Yao</t>
        </is>
      </c>
      <c r="D98" s="35" t="inlineStr">
        <is>
          <t>2026-08-14</t>
        </is>
      </c>
      <c r="E98" s="37" t="inlineStr">
        <is>
          <t>Dicker Data INV7620669AA</t>
        </is>
      </c>
    </row>
    <row r="99" ht="84" customHeight="1">
      <c r="A99" s="35" t="inlineStr">
        <is>
          <t>V59</t>
        </is>
      </c>
      <c r="B99" s="35" t="inlineStr">
        <is>
          <t>Note</t>
        </is>
      </c>
      <c r="C99" s="36" t="inlineStr">
        <is>
          <t>tc={C85D9825-B6BD-4AEB-878A-B78F57090EE1}</t>
        </is>
      </c>
      <c r="D99" s="35" t="inlineStr"/>
      <c r="E99" s="37" t="inlineStr">
        <is>
          <t>&lt;t&gt;[Threaded comment]
Your version of Excel allows you to read this threaded comment; however, any edits to it will get removed if the file is opened in a newer version of Excel. Learn more: https://go.microsoft.com/fwlink/?linkid=870924
Comment:
    Dicker Data INV7620669AA</t>
        </is>
      </c>
    </row>
    <row r="100" ht="112" customHeight="1">
      <c r="A100" s="35" t="inlineStr">
        <is>
          <t>U60</t>
        </is>
      </c>
      <c r="B100" s="35" t="inlineStr">
        <is>
          <t>Note</t>
        </is>
      </c>
      <c r="C100" s="36" t="inlineStr">
        <is>
          <t>tc={55C110FE-281D-47B5-B524-431DBEE8A7DE}</t>
        </is>
      </c>
      <c r="D100" s="35" t="inlineStr"/>
      <c r="E100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PO: Fredon PO-00016897
Accrued (Y/N &amp; Date): Y &amp; July 2026 
Invoice #:</t>
        </is>
      </c>
    </row>
    <row r="101" ht="112" customHeight="1">
      <c r="A101" s="35" t="inlineStr">
        <is>
          <t>V60</t>
        </is>
      </c>
      <c r="B101" s="35" t="inlineStr">
        <is>
          <t>Note</t>
        </is>
      </c>
      <c r="C101" s="36" t="inlineStr">
        <is>
          <t>tc={6C4533A8-87C6-40CA-8783-F639AF3F4F8B}</t>
        </is>
      </c>
      <c r="D101" s="35" t="inlineStr"/>
      <c r="E101" s="37" t="inlineStr">
        <is>
          <t>&lt;t xml:space="preserve"&gt;[Threaded comment]
Your version of Excel allows you to read this threaded comment; however, any edits to it will get removed if the file is opened in a newer version of Excel. Learn more: https://go.microsoft.com/fwlink/?linkid=870924
Comment:
    PO: Fredon PO-00016897
Accrued (Y/N &amp; Date): Y &amp; July 2026 
Invoice #: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2026-09-09T02:44:49Z</dcterms:created>
  <dcterms:modified xsi:type="dcterms:W3CDTF">2026-09-09T02:44:49Z</dcterms:modified>
</cp:coreProperties>
</file>