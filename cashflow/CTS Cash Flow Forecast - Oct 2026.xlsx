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h Flow" sheetId="1" state="visible" r:id="rId1"/>
    <sheet name="Assumptions" sheetId="2" state="visible" r:id="rId2"/>
    <sheet name="Payroll" sheetId="3" state="visible" r:id="rId3"/>
    <sheet name="Receivables" sheetId="4" state="visible" r:id="rId4"/>
    <sheet name="Payables" sheetId="5" state="visible" r:id="rId5"/>
  </sheets>
  <definedNames>
    <definedName name="_xlnm._FilterDatabase" localSheetId="3" hidden="1">'Receivables'!$A$4:$K$52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d d mmm yy"/>
    <numFmt numFmtId="166" formatCode="$#,##0.00;($#,##0.00);-"/>
    <numFmt numFmtId="167" formatCode="$#,##0;($#,##0);-"/>
    <numFmt numFmtId="168" formatCode="0.0%"/>
    <numFmt numFmtId="169" formatCode="d mmm yy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8000"/>
      <sz val="10"/>
    </font>
    <font>
      <name val="Arial"/>
      <b val="1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top style="thin">
        <color rgb="00999999"/>
      </top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/>
    </xf>
    <xf numFmtId="165" fontId="7" fillId="2" borderId="0" pivotButton="0" quotePrefix="0" xfId="0"/>
    <xf numFmtId="0" fontId="0" fillId="2" borderId="0" pivotButton="0" quotePrefix="0" xfId="0"/>
    <xf numFmtId="0" fontId="6" fillId="5" borderId="0" pivotButton="0" quotePrefix="0" xfId="0"/>
    <xf numFmtId="167" fontId="8" fillId="5" borderId="0" pivotButton="0" quotePrefix="0" xfId="0"/>
    <xf numFmtId="167" fontId="6" fillId="5" borderId="0" pivotButton="0" quotePrefix="0" xfId="0"/>
    <xf numFmtId="0" fontId="2" fillId="5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167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4" borderId="0" pivotButton="0" quotePrefix="0" xfId="0"/>
    <xf numFmtId="167" fontId="6" fillId="4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6" fillId="0" borderId="0" pivotButton="0" quotePrefix="0" xfId="0"/>
    <xf numFmtId="167" fontId="6" fillId="0" borderId="1" pivotButton="0" quotePrefix="0" xfId="0"/>
    <xf numFmtId="167" fontId="6" fillId="0" borderId="0" pivotButton="0" quotePrefix="0" xfId="0"/>
    <xf numFmtId="17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2" borderId="0" pivotButton="0" quotePrefix="0" xfId="0"/>
    <xf numFmtId="165" fontId="5" fillId="0" borderId="0" pivotButton="0" quotePrefix="0" xfId="0"/>
    <xf numFmtId="166" fontId="5" fillId="0" borderId="0" pivotButton="0" quotePrefix="0" xfId="0"/>
    <xf numFmtId="0" fontId="5" fillId="0" borderId="0" pivotButton="0" quotePrefix="0" xfId="0"/>
    <xf numFmtId="167" fontId="5" fillId="3" borderId="0" pivotButton="0" quotePrefix="0" xfId="0"/>
    <xf numFmtId="168" fontId="5" fillId="3" borderId="0" pivotButton="0" quotePrefix="0" xfId="0"/>
    <xf numFmtId="168" fontId="4" fillId="0" borderId="0" pivotButton="0" quotePrefix="0" xfId="0"/>
    <xf numFmtId="168" fontId="5" fillId="0" borderId="0" pivotButton="0" quotePrefix="0" xfId="0"/>
    <xf numFmtId="0" fontId="5" fillId="3" borderId="0" pivotButton="0" quotePrefix="0" xfId="0"/>
    <xf numFmtId="167" fontId="5" fillId="0" borderId="0" pivotButton="0" quotePrefix="0" xfId="0"/>
    <xf numFmtId="165" fontId="4" fillId="0" borderId="0" pivotButton="0" quotePrefix="0" xfId="0"/>
    <xf numFmtId="0" fontId="6" fillId="2" borderId="0" applyAlignment="1" pivotButton="0" quotePrefix="0" xfId="0">
      <alignment vertical="top" wrapText="1"/>
    </xf>
    <xf numFmtId="165" fontId="7" fillId="0" borderId="0" pivotButton="0" quotePrefix="0" xfId="0"/>
    <xf numFmtId="167" fontId="7" fillId="0" borderId="0" pivotButton="0" quotePrefix="0" xfId="0"/>
    <xf numFmtId="169" fontId="5" fillId="0" borderId="0" pivotButton="0" quotePrefix="0" xfId="0"/>
    <xf numFmtId="1" fontId="4" fillId="0" borderId="0" pivotButton="0" quotePrefix="0" xfId="0"/>
    <xf numFmtId="169" fontId="5" fillId="3" borderId="0" pivotButton="0" quotePrefix="0" xfId="0"/>
    <xf numFmtId="166" fontId="6" fillId="4" borderId="0" pivotButton="0" quotePrefix="0" xfId="0"/>
    <xf numFmtId="166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4"/>
  <sheetViews>
    <sheetView zoomScale="9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6" customWidth="1" min="7" max="7"/>
    <col width="70" customWidth="1" min="8" max="8"/>
  </cols>
  <sheetData>
    <row r="1">
      <c r="A1" s="1" t="inlineStr">
        <is>
          <t>Corporate Technology Services Pty Ltd - Weekly Cash Flow Forecast</t>
        </is>
      </c>
    </row>
    <row r="2">
      <c r="A2" s="2" t="inlineStr">
        <is>
          <t>This week (w/c 28 Sep 2026) through the end of October. Built from Xero data as at 28 Sep 2026. Inputs on the Assumptions tab; invoice/bill detail on the Receivables and Payables tabs.</t>
        </is>
      </c>
    </row>
    <row r="4">
      <c r="A4" s="3" t="inlineStr">
        <is>
          <t>Week</t>
        </is>
      </c>
      <c r="B4" s="4" t="inlineStr">
        <is>
          <t>Week 1</t>
        </is>
      </c>
      <c r="C4" s="4" t="inlineStr">
        <is>
          <t>Week 2</t>
        </is>
      </c>
      <c r="D4" s="4" t="inlineStr">
        <is>
          <t>Week 3</t>
        </is>
      </c>
      <c r="E4" s="4" t="inlineStr">
        <is>
          <t>Week 4</t>
        </is>
      </c>
      <c r="F4" s="4" t="inlineStr">
        <is>
          <t>Week 5</t>
        </is>
      </c>
      <c r="G4" s="4" t="inlineStr">
        <is>
          <t>Total 5 weeks</t>
        </is>
      </c>
      <c r="H4" s="3" t="inlineStr">
        <is>
          <t>Basis / source</t>
        </is>
      </c>
    </row>
    <row r="5">
      <c r="A5" s="3" t="inlineStr">
        <is>
          <t>Week starting (Mon)</t>
        </is>
      </c>
      <c r="B5" s="5">
        <f>Assumptions!$B$33</f>
        <v/>
      </c>
      <c r="C5" s="5">
        <f>Assumptions!$B$34</f>
        <v/>
      </c>
      <c r="D5" s="5">
        <f>Assumptions!$B$35</f>
        <v/>
      </c>
      <c r="E5" s="5">
        <f>Assumptions!$B$36</f>
        <v/>
      </c>
      <c r="F5" s="5">
        <f>Assumptions!$B$37</f>
        <v/>
      </c>
      <c r="G5" s="6" t="n"/>
      <c r="H5" s="6" t="n"/>
    </row>
    <row r="6">
      <c r="A6" s="3" t="inlineStr">
        <is>
          <t>Week ending (Sun)</t>
        </is>
      </c>
      <c r="B6" s="5">
        <f>Assumptions!$C$33</f>
        <v/>
      </c>
      <c r="C6" s="5">
        <f>Assumptions!$C$34</f>
        <v/>
      </c>
      <c r="D6" s="5">
        <f>Assumptions!$C$35</f>
        <v/>
      </c>
      <c r="E6" s="5">
        <f>Assumptions!$C$36</f>
        <v/>
      </c>
      <c r="F6" s="5">
        <f>Assumptions!$C$37</f>
        <v/>
      </c>
      <c r="G6" s="6" t="n"/>
      <c r="H6" s="6" t="n"/>
    </row>
    <row r="8">
      <c r="A8" s="7" t="inlineStr">
        <is>
          <t>OPENING CASH (all bank accounts)</t>
        </is>
      </c>
      <c r="B8" s="8">
        <f>Assumptions!$B$6</f>
        <v/>
      </c>
      <c r="C8" s="9">
        <f>B39</f>
        <v/>
      </c>
      <c r="D8" s="9">
        <f>C39</f>
        <v/>
      </c>
      <c r="E8" s="9">
        <f>D39</f>
        <v/>
      </c>
      <c r="F8" s="9">
        <f>E39</f>
        <v/>
      </c>
      <c r="G8" s="9">
        <f>B8</f>
        <v/>
      </c>
      <c r="H8" s="10" t="inlineStr">
        <is>
          <t>Xero cash position 28 Sep 2026. Total of every bank account, not just the cheque account.</t>
        </is>
      </c>
    </row>
    <row r="10">
      <c r="A10" s="11" t="inlineStr">
        <is>
          <t>RECEIPTS</t>
        </is>
      </c>
    </row>
    <row r="11">
      <c r="A11" s="12" t="inlineStr">
        <is>
          <t>Customer receipts - invoices already overdue</t>
        </is>
      </c>
      <c r="B11" s="13">
        <f>SUMIFS(Receivables!$F$5:$F$52,Receivables!$H$5:$H$52,"&gt;="&amp;Assumptions!$B$33,Receivables!$H$5:$H$52,"&lt;="&amp;Assumptions!$C$33,Receivables!$G$5:$G$52,"Overdue")</f>
        <v/>
      </c>
      <c r="C11" s="13">
        <f>SUMIFS(Receivables!$F$5:$F$52,Receivables!$H$5:$H$52,"&gt;="&amp;Assumptions!$B$34,Receivables!$H$5:$H$52,"&lt;="&amp;Assumptions!$C$34,Receivables!$G$5:$G$52,"Overdue")</f>
        <v/>
      </c>
      <c r="D11" s="13">
        <f>SUMIFS(Receivables!$F$5:$F$52,Receivables!$H$5:$H$52,"&gt;="&amp;Assumptions!$B$35,Receivables!$H$5:$H$52,"&lt;="&amp;Assumptions!$C$35,Receivables!$G$5:$G$52,"Overdue")</f>
        <v/>
      </c>
      <c r="E11" s="13">
        <f>SUMIFS(Receivables!$F$5:$F$52,Receivables!$H$5:$H$52,"&gt;="&amp;Assumptions!$B$36,Receivables!$H$5:$H$52,"&lt;="&amp;Assumptions!$C$36,Receivables!$G$5:$G$52,"Overdue")</f>
        <v/>
      </c>
      <c r="F11" s="13">
        <f>SUMIFS(Receivables!$F$5:$F$52,Receivables!$H$5:$H$52,"&gt;="&amp;Assumptions!$B$37,Receivables!$H$5:$H$52,"&lt;="&amp;Assumptions!$C$37,Receivables!$G$5:$G$52,"Overdue")</f>
        <v/>
      </c>
      <c r="G11" s="13">
        <f>SUM(B11:F11)</f>
        <v/>
      </c>
      <c r="H11" s="14" t="inlineStr">
        <is>
          <t>Receivables tab, status 'Overdue' (1-30 days late). Excludes the two 3-month-old debts (Meet Magic, Property NSW) which are dated past 1 Nov.</t>
        </is>
      </c>
    </row>
    <row r="12">
      <c r="A12" s="12" t="inlineStr">
        <is>
          <t>Customer receipts - invoices not yet due</t>
        </is>
      </c>
      <c r="B12" s="13">
        <f>SUMIFS(Receivables!$F$5:$F$52,Receivables!$H$5:$H$52,"&gt;="&amp;Assumptions!$B$33,Receivables!$H$5:$H$52,"&lt;="&amp;Assumptions!$C$33,Receivables!$G$5:$G$52,"Current")</f>
        <v/>
      </c>
      <c r="C12" s="13">
        <f>SUMIFS(Receivables!$F$5:$F$52,Receivables!$H$5:$H$52,"&gt;="&amp;Assumptions!$B$34,Receivables!$H$5:$H$52,"&lt;="&amp;Assumptions!$C$34,Receivables!$G$5:$G$52,"Current")</f>
        <v/>
      </c>
      <c r="D12" s="13">
        <f>SUMIFS(Receivables!$F$5:$F$52,Receivables!$H$5:$H$52,"&gt;="&amp;Assumptions!$B$35,Receivables!$H$5:$H$52,"&lt;="&amp;Assumptions!$C$35,Receivables!$G$5:$G$52,"Current")</f>
        <v/>
      </c>
      <c r="E12" s="13">
        <f>SUMIFS(Receivables!$F$5:$F$52,Receivables!$H$5:$H$52,"&gt;="&amp;Assumptions!$B$36,Receivables!$H$5:$H$52,"&lt;="&amp;Assumptions!$C$36,Receivables!$G$5:$G$52,"Current")</f>
        <v/>
      </c>
      <c r="F12" s="13">
        <f>SUMIFS(Receivables!$F$5:$F$52,Receivables!$H$5:$H$52,"&gt;="&amp;Assumptions!$B$37,Receivables!$H$5:$H$52,"&lt;="&amp;Assumptions!$C$37,Receivables!$G$5:$G$52,"Current")</f>
        <v/>
      </c>
      <c r="G12" s="13">
        <f>SUM(B12:F12)</f>
        <v/>
      </c>
      <c r="H12" s="14" t="inlineStr">
        <is>
          <t>Receivables tab, status 'Current'. Includes Aware Super $225,887 (exp 9 Oct).</t>
        </is>
      </c>
    </row>
    <row r="13">
      <c r="A13" s="12" t="inlineStr">
        <is>
          <t>September contract invoices (raised 30 Sep, paid early)</t>
        </is>
      </c>
      <c r="B13" s="13">
        <f>SUMIFS(Receivables!$F$5:$F$52,Receivables!$H$5:$H$52,"&gt;="&amp;Assumptions!$B$33,Receivables!$H$5:$H$52,"&lt;="&amp;Assumptions!$C$33,Receivables!$G$5:$G$52,"To be raised")</f>
        <v/>
      </c>
      <c r="C13" s="13">
        <f>SUMIFS(Receivables!$F$5:$F$52,Receivables!$H$5:$H$52,"&gt;="&amp;Assumptions!$B$34,Receivables!$H$5:$H$52,"&lt;="&amp;Assumptions!$C$34,Receivables!$G$5:$G$52,"To be raised")</f>
        <v/>
      </c>
      <c r="D13" s="13">
        <f>SUMIFS(Receivables!$F$5:$F$52,Receivables!$H$5:$H$52,"&gt;="&amp;Assumptions!$B$35,Receivables!$H$5:$H$52,"&lt;="&amp;Assumptions!$C$35,Receivables!$G$5:$G$52,"To be raised")</f>
        <v/>
      </c>
      <c r="E13" s="13">
        <f>SUMIFS(Receivables!$F$5:$F$52,Receivables!$H$5:$H$52,"&gt;="&amp;Assumptions!$B$36,Receivables!$H$5:$H$52,"&lt;="&amp;Assumptions!$C$36,Receivables!$G$5:$G$52,"To be raised")</f>
        <v/>
      </c>
      <c r="F13" s="13">
        <f>SUMIFS(Receivables!$F$5:$F$52,Receivables!$H$5:$H$52,"&gt;="&amp;Assumptions!$B$37,Receivables!$H$5:$H$52,"&lt;="&amp;Assumptions!$C$37,Receivables!$G$5:$G$52,"To be raised")</f>
        <v/>
      </c>
      <c r="G13" s="13">
        <f>SUM(B13:F13)</f>
        <v/>
      </c>
      <c r="H13" s="14" t="inlineStr">
        <is>
          <t>Deloitte, CBA x4, Bankwest, Aware maintenance - based on how quickly each paid its August invoice. PwC pushed to November.</t>
        </is>
      </c>
    </row>
    <row r="14">
      <c r="A14" s="12" t="inlineStr">
        <is>
          <t>October-dated invoices paid within October</t>
        </is>
      </c>
      <c r="B14" s="13">
        <f>0</f>
        <v/>
      </c>
      <c r="C14" s="13">
        <f>0</f>
        <v/>
      </c>
      <c r="D14" s="13">
        <f>Assumptions!$B$28/3</f>
        <v/>
      </c>
      <c r="E14" s="13">
        <f>Assumptions!$B$28/3</f>
        <v/>
      </c>
      <c r="F14" s="13">
        <f>Assumptions!$B$28/3</f>
        <v/>
      </c>
      <c r="G14" s="13">
        <f>SUM(B14:F14)</f>
        <v/>
      </c>
      <c r="H14" s="14" t="inlineStr">
        <is>
          <t>Assumptions tab. Card/Stripe payers and small event invoices; spread over weeks 3-5.</t>
        </is>
      </c>
    </row>
    <row r="15">
      <c r="A15" s="12" t="inlineStr">
        <is>
          <t>Interest received</t>
        </is>
      </c>
      <c r="B15" s="13">
        <f>0</f>
        <v/>
      </c>
      <c r="C15" s="13">
        <f>0</f>
        <v/>
      </c>
      <c r="D15" s="13">
        <f>0</f>
        <v/>
      </c>
      <c r="E15" s="13">
        <f>0</f>
        <v/>
      </c>
      <c r="F15" s="13">
        <f>Assumptions!$B$29</f>
        <v/>
      </c>
      <c r="G15" s="13">
        <f>SUM(B15:F15)</f>
        <v/>
      </c>
      <c r="H15" s="14" t="inlineStr">
        <is>
          <t>Assumptions tab. Savings interest lands at month end.</t>
        </is>
      </c>
    </row>
    <row r="16">
      <c r="A16" s="15" t="inlineStr">
        <is>
          <t>TOTAL RECEIPTS</t>
        </is>
      </c>
      <c r="B16" s="16">
        <f>SUM(B11:B15)</f>
        <v/>
      </c>
      <c r="C16" s="16">
        <f>SUM(C11:C15)</f>
        <v/>
      </c>
      <c r="D16" s="16">
        <f>SUM(D11:D15)</f>
        <v/>
      </c>
      <c r="E16" s="16">
        <f>SUM(E11:E15)</f>
        <v/>
      </c>
      <c r="F16" s="16">
        <f>SUM(F11:F15)</f>
        <v/>
      </c>
      <c r="G16" s="16">
        <f>SUM(G11:G15)</f>
        <v/>
      </c>
      <c r="H16" s="17" t="n"/>
    </row>
    <row r="18">
      <c r="A18" s="11" t="inlineStr">
        <is>
          <t>PAYMENTS</t>
        </is>
      </c>
    </row>
    <row r="19">
      <c r="A19" s="7" t="inlineStr">
        <is>
          <t>Payroll &amp; payroll-related</t>
        </is>
      </c>
      <c r="B19" s="18" t="n"/>
      <c r="C19" s="18" t="n"/>
      <c r="D19" s="18" t="n"/>
      <c r="E19" s="18" t="n"/>
      <c r="F19" s="18" t="n"/>
      <c r="G19" s="18" t="n"/>
      <c r="H19" s="18" t="n"/>
    </row>
    <row r="20">
      <c r="A20" s="12" t="inlineStr">
        <is>
          <t>Net wages - pay run 1 (Tue 6 Oct) and pay run 2 (Tue 20 Oct)</t>
        </is>
      </c>
      <c r="B20" s="13">
        <f>SUMIFS(Payroll!$E$5:$E$6,Payroll!$C$5:$C$6,"&gt;="&amp;Assumptions!$B$33,Payroll!$C$5:$C$6,"&lt;="&amp;Assumptions!$C$33)</f>
        <v/>
      </c>
      <c r="C20" s="13">
        <f>SUMIFS(Payroll!$E$5:$E$6,Payroll!$C$5:$C$6,"&gt;="&amp;Assumptions!$B$34,Payroll!$C$5:$C$6,"&lt;="&amp;Assumptions!$C$34)</f>
        <v/>
      </c>
      <c r="D20" s="13">
        <f>SUMIFS(Payroll!$E$5:$E$6,Payroll!$C$5:$C$6,"&gt;="&amp;Assumptions!$B$35,Payroll!$C$5:$C$6,"&lt;="&amp;Assumptions!$C$35)</f>
        <v/>
      </c>
      <c r="E20" s="13">
        <f>SUMIFS(Payroll!$E$5:$E$6,Payroll!$C$5:$C$6,"&gt;="&amp;Assumptions!$B$36,Payroll!$C$5:$C$6,"&lt;="&amp;Assumptions!$C$36)</f>
        <v/>
      </c>
      <c r="F20" s="13">
        <f>SUMIFS(Payroll!$E$5:$E$6,Payroll!$C$5:$C$6,"&gt;="&amp;Assumptions!$B$37,Payroll!$C$5:$C$6,"&lt;="&amp;Assumptions!$C$37)</f>
        <v/>
      </c>
      <c r="G20" s="13">
        <f>SUM(B20:F20)</f>
        <v/>
      </c>
      <c r="H20" s="14" t="inlineStr">
        <is>
          <t>Payroll tab: gross x net %. ABA file uploaded to CommBiz on the Monday, paid Tuesday.</t>
        </is>
      </c>
    </row>
    <row r="21">
      <c r="A21" s="12" t="inlineStr">
        <is>
          <t>Superannuation (direct debit, same week as pay run)</t>
        </is>
      </c>
      <c r="B21" s="13">
        <f>SUMIFS(Payroll!$G$5:$G$6,Payroll!$C$5:$C$6,"&gt;="&amp;Assumptions!$B$33,Payroll!$C$5:$C$6,"&lt;="&amp;Assumptions!$C$33)</f>
        <v/>
      </c>
      <c r="C21" s="13">
        <f>SUMIFS(Payroll!$G$5:$G$6,Payroll!$C$5:$C$6,"&gt;="&amp;Assumptions!$B$34,Payroll!$C$5:$C$6,"&lt;="&amp;Assumptions!$C$34)</f>
        <v/>
      </c>
      <c r="D21" s="13">
        <f>SUMIFS(Payroll!$G$5:$G$6,Payroll!$C$5:$C$6,"&gt;="&amp;Assumptions!$B$35,Payroll!$C$5:$C$6,"&lt;="&amp;Assumptions!$C$35)</f>
        <v/>
      </c>
      <c r="E21" s="13">
        <f>SUMIFS(Payroll!$G$5:$G$6,Payroll!$C$5:$C$6,"&gt;="&amp;Assumptions!$B$36,Payroll!$C$5:$C$6,"&lt;="&amp;Assumptions!$C$36)</f>
        <v/>
      </c>
      <c r="F21" s="13">
        <f>SUMIFS(Payroll!$G$5:$G$6,Payroll!$C$5:$C$6,"&gt;="&amp;Assumptions!$B$37,Payroll!$C$5:$C$6,"&lt;="&amp;Assumptions!$C$37)</f>
        <v/>
      </c>
      <c r="G21" s="13">
        <f>SUM(B21:F21)</f>
        <v/>
      </c>
      <c r="H21" s="14" t="inlineStr">
        <is>
          <t>Payroll tab: gross x super %. Employment Hero clearing house debits the cheque account (Checklist steps 69-70).</t>
        </is>
      </c>
    </row>
    <row r="22">
      <c r="A22" s="12" t="inlineStr">
        <is>
          <t>Payroll tax NSW - September wages (due 7 Oct)</t>
        </is>
      </c>
      <c r="B22" s="13">
        <f>IF(AND(Assumptions!$B$17&gt;=Assumptions!$B$33,Assumptions!$B$17&lt;=Assumptions!$C$33),Assumptions!$B$15,0)</f>
        <v/>
      </c>
      <c r="C22" s="13">
        <f>IF(AND(Assumptions!$B$17&gt;=Assumptions!$B$34,Assumptions!$B$17&lt;=Assumptions!$C$34),Assumptions!$B$15,0)</f>
        <v/>
      </c>
      <c r="D22" s="13">
        <f>IF(AND(Assumptions!$B$17&gt;=Assumptions!$B$35,Assumptions!$B$17&lt;=Assumptions!$C$35),Assumptions!$B$15,0)</f>
        <v/>
      </c>
      <c r="E22" s="13">
        <f>IF(AND(Assumptions!$B$17&gt;=Assumptions!$B$36,Assumptions!$B$17&lt;=Assumptions!$C$36),Assumptions!$B$15,0)</f>
        <v/>
      </c>
      <c r="F22" s="13">
        <f>IF(AND(Assumptions!$B$17&gt;=Assumptions!$B$37,Assumptions!$B$17&lt;=Assumptions!$C$37),Assumptions!$B$15,0)</f>
        <v/>
      </c>
      <c r="G22" s="13">
        <f>SUM(B22:F22)</f>
        <v/>
      </c>
      <c r="H22" s="14" t="inlineStr">
        <is>
          <t>Assumptions tab; August actual used as proxy for September.</t>
        </is>
      </c>
    </row>
    <row r="23">
      <c r="A23" s="12" t="inlineStr">
        <is>
          <t>Payroll tax other states - September wages (due 7 Oct)</t>
        </is>
      </c>
      <c r="B23" s="13">
        <f>IF(AND(Assumptions!$B$17&gt;=Assumptions!$B$33,Assumptions!$B$17&lt;=Assumptions!$C$33),Assumptions!$B$16,0)</f>
        <v/>
      </c>
      <c r="C23" s="13">
        <f>IF(AND(Assumptions!$B$17&gt;=Assumptions!$B$34,Assumptions!$B$17&lt;=Assumptions!$C$34),Assumptions!$B$16,0)</f>
        <v/>
      </c>
      <c r="D23" s="13">
        <f>IF(AND(Assumptions!$B$17&gt;=Assumptions!$B$35,Assumptions!$B$17&lt;=Assumptions!$C$35),Assumptions!$B$16,0)</f>
        <v/>
      </c>
      <c r="E23" s="13">
        <f>IF(AND(Assumptions!$B$17&gt;=Assumptions!$B$36,Assumptions!$B$17&lt;=Assumptions!$C$36),Assumptions!$B$16,0)</f>
        <v/>
      </c>
      <c r="F23" s="13">
        <f>IF(AND(Assumptions!$B$17&gt;=Assumptions!$B$37,Assumptions!$B$17&lt;=Assumptions!$C$37),Assumptions!$B$16,0)</f>
        <v/>
      </c>
      <c r="G23" s="13">
        <f>SUM(B23:F23)</f>
        <v/>
      </c>
      <c r="H23" s="14" t="inlineStr">
        <is>
          <t>Assumptions tab; August actual used as proxy.</t>
        </is>
      </c>
    </row>
    <row r="24">
      <c r="A24" s="12" t="inlineStr">
        <is>
          <t>PAYG withholding + GST - Q1 BAS (only if paid in Oct)</t>
        </is>
      </c>
      <c r="B24" s="13">
        <f>IF(AND(Assumptions!$B$23&gt;=Assumptions!$B$33,Assumptions!$B$23&lt;=Assumptions!$C$33),Assumptions!$B$19*(Assumptions!$B$20+Assumptions!$B$21+Assumptions!$B$22),0)</f>
        <v/>
      </c>
      <c r="C24" s="13">
        <f>IF(AND(Assumptions!$B$23&gt;=Assumptions!$B$34,Assumptions!$B$23&lt;=Assumptions!$C$34),Assumptions!$B$19*(Assumptions!$B$20+Assumptions!$B$21+Assumptions!$B$22),0)</f>
        <v/>
      </c>
      <c r="D24" s="13">
        <f>IF(AND(Assumptions!$B$23&gt;=Assumptions!$B$35,Assumptions!$B$23&lt;=Assumptions!$C$35),Assumptions!$B$19*(Assumptions!$B$20+Assumptions!$B$21+Assumptions!$B$22),0)</f>
        <v/>
      </c>
      <c r="E24" s="13">
        <f>IF(AND(Assumptions!$B$23&gt;=Assumptions!$B$36,Assumptions!$B$23&lt;=Assumptions!$C$36),Assumptions!$B$19*(Assumptions!$B$20+Assumptions!$B$21+Assumptions!$B$22),0)</f>
        <v/>
      </c>
      <c r="F24" s="13">
        <f>IF(AND(Assumptions!$B$23&gt;=Assumptions!$B$37,Assumptions!$B$23&lt;=Assumptions!$C$37),Assumptions!$B$19*(Assumptions!$B$20+Assumptions!$B$21+Assumptions!$B$22),0)</f>
        <v/>
      </c>
      <c r="G24" s="13">
        <f>SUM(B24:F24)</f>
        <v/>
      </c>
      <c r="H24" s="14" t="inlineStr">
        <is>
          <t>Assumptions tab toggle. Default 0 = lodged via tax agent, due 25 Nov. Set toggle to 1 to show it on 28 Oct.</t>
        </is>
      </c>
    </row>
    <row r="25">
      <c r="A25" s="19" t="inlineStr">
        <is>
          <t>Subtotal payroll &amp; payroll-related</t>
        </is>
      </c>
      <c r="B25" s="20">
        <f>SUM(B20:B24)</f>
        <v/>
      </c>
      <c r="C25" s="20">
        <f>SUM(C20:C24)</f>
        <v/>
      </c>
      <c r="D25" s="20">
        <f>SUM(D20:D24)</f>
        <v/>
      </c>
      <c r="E25" s="20">
        <f>SUM(E20:E24)</f>
        <v/>
      </c>
      <c r="F25" s="20">
        <f>SUM(F20:F24)</f>
        <v/>
      </c>
      <c r="G25" s="20">
        <f>SUM(G20:G24)</f>
        <v/>
      </c>
    </row>
    <row r="27">
      <c r="A27" s="7" t="inlineStr">
        <is>
          <t>Suppliers &amp; overheads</t>
        </is>
      </c>
      <c r="B27" s="18" t="n"/>
      <c r="C27" s="18" t="n"/>
      <c r="D27" s="18" t="n"/>
      <c r="E27" s="18" t="n"/>
      <c r="F27" s="18" t="n"/>
      <c r="G27" s="18" t="n"/>
      <c r="H27" s="18" t="n"/>
    </row>
    <row r="28">
      <c r="A28" s="12" t="inlineStr">
        <is>
          <t>Complete AV Solutions - Aware seminar room (held until Aware pays)</t>
        </is>
      </c>
      <c r="B28" s="13">
        <f>SUMIFS(Payables!$D$5:$D$28,Payables!$F$5:$F$28,"&gt;="&amp;Assumptions!$B$33,Payables!$F$5:$F$28,"&lt;="&amp;Assumptions!$C$33,Payables!$E$5:$E$28,"&lt;&gt;Card",Payables!$A$5:$A$28,"Complete AV Solutions")</f>
        <v/>
      </c>
      <c r="C28" s="13">
        <f>SUMIFS(Payables!$D$5:$D$28,Payables!$F$5:$F$28,"&gt;="&amp;Assumptions!$B$34,Payables!$F$5:$F$28,"&lt;="&amp;Assumptions!$C$34,Payables!$E$5:$E$28,"&lt;&gt;Card",Payables!$A$5:$A$28,"Complete AV Solutions")</f>
        <v/>
      </c>
      <c r="D28" s="13">
        <f>SUMIFS(Payables!$D$5:$D$28,Payables!$F$5:$F$28,"&gt;="&amp;Assumptions!$B$35,Payables!$F$5:$F$28,"&lt;="&amp;Assumptions!$C$35,Payables!$E$5:$E$28,"&lt;&gt;Card",Payables!$A$5:$A$28,"Complete AV Solutions")</f>
        <v/>
      </c>
      <c r="E28" s="13">
        <f>SUMIFS(Payables!$D$5:$D$28,Payables!$F$5:$F$28,"&gt;="&amp;Assumptions!$B$36,Payables!$F$5:$F$28,"&lt;="&amp;Assumptions!$C$36,Payables!$E$5:$E$28,"&lt;&gt;Card",Payables!$A$5:$A$28,"Complete AV Solutions")</f>
        <v/>
      </c>
      <c r="F28" s="13">
        <f>SUMIFS(Payables!$D$5:$D$28,Payables!$F$5:$F$28,"&gt;="&amp;Assumptions!$B$37,Payables!$F$5:$F$28,"&lt;="&amp;Assumptions!$C$37,Payables!$E$5:$E$28,"&lt;&gt;Card",Payables!$A$5:$A$28,"Complete AV Solutions")</f>
        <v/>
      </c>
      <c r="G28" s="13">
        <f>SUM(B28:F28)</f>
        <v/>
      </c>
      <c r="H28" s="14" t="inlineStr">
        <is>
          <t>Payables tab. $178,119 released the week after Aware's $225,887 arrives.</t>
        </is>
      </c>
    </row>
    <row r="29">
      <c r="A29" s="12" t="inlineStr">
        <is>
          <t>Rent - Investa (September rent, due 22 Oct)</t>
        </is>
      </c>
      <c r="B29" s="13">
        <f>SUMIFS(Payables!$D$5:$D$28,Payables!$F$5:$F$28,"&gt;="&amp;Assumptions!$B$33,Payables!$F$5:$F$28,"&lt;="&amp;Assumptions!$C$33,Payables!$E$5:$E$28,"&lt;&gt;Card",Payables!$A$5:$A$28,"Investa Asset Management")</f>
        <v/>
      </c>
      <c r="C29" s="13">
        <f>SUMIFS(Payables!$D$5:$D$28,Payables!$F$5:$F$28,"&gt;="&amp;Assumptions!$B$34,Payables!$F$5:$F$28,"&lt;="&amp;Assumptions!$C$34,Payables!$E$5:$E$28,"&lt;&gt;Card",Payables!$A$5:$A$28,"Investa Asset Management")</f>
        <v/>
      </c>
      <c r="D29" s="13">
        <f>SUMIFS(Payables!$D$5:$D$28,Payables!$F$5:$F$28,"&gt;="&amp;Assumptions!$B$35,Payables!$F$5:$F$28,"&lt;="&amp;Assumptions!$C$35,Payables!$E$5:$E$28,"&lt;&gt;Card",Payables!$A$5:$A$28,"Investa Asset Management")</f>
        <v/>
      </c>
      <c r="E29" s="13">
        <f>SUMIFS(Payables!$D$5:$D$28,Payables!$F$5:$F$28,"&gt;="&amp;Assumptions!$B$36,Payables!$F$5:$F$28,"&lt;="&amp;Assumptions!$C$36,Payables!$E$5:$E$28,"&lt;&gt;Card",Payables!$A$5:$A$28,"Investa Asset Management")</f>
        <v/>
      </c>
      <c r="F29" s="13">
        <f>SUMIFS(Payables!$D$5:$D$28,Payables!$F$5:$F$28,"&gt;="&amp;Assumptions!$B$37,Payables!$F$5:$F$28,"&lt;="&amp;Assumptions!$C$37,Payables!$E$5:$E$28,"&lt;&gt;Card",Payables!$A$5:$A$28,"Investa Asset Management")</f>
        <v/>
      </c>
      <c r="G29" s="13">
        <f>SUM(B29:F29)</f>
        <v/>
      </c>
      <c r="H29" s="14" t="inlineStr">
        <is>
          <t>Payables tab. October rent is due ~22 Nov.</t>
        </is>
      </c>
    </row>
    <row r="30">
      <c r="A30" s="12" t="inlineStr">
        <is>
          <t>Other bills already in Xero (EFT/BPAY/DD)</t>
        </is>
      </c>
      <c r="B30" s="13">
        <f>SUMIFS(Payables!$D$5:$D$28,Payables!$F$5:$F$28,"&gt;="&amp;Assumptions!$B$33,Payables!$F$5:$F$28,"&lt;="&amp;Assumptions!$C$33,Payables!$E$5:$E$28,"&lt;&gt;Card",Payables!$A$5:$A$28,"&lt;&gt;Complete AV Solutions",Payables!$A$5:$A$28,"&lt;&gt;Investa Asset Management")</f>
        <v/>
      </c>
      <c r="C30" s="13">
        <f>SUMIFS(Payables!$D$5:$D$28,Payables!$F$5:$F$28,"&gt;="&amp;Assumptions!$B$34,Payables!$F$5:$F$28,"&lt;="&amp;Assumptions!$C$34,Payables!$E$5:$E$28,"&lt;&gt;Card",Payables!$A$5:$A$28,"&lt;&gt;Complete AV Solutions",Payables!$A$5:$A$28,"&lt;&gt;Investa Asset Management")</f>
        <v/>
      </c>
      <c r="D30" s="13">
        <f>SUMIFS(Payables!$D$5:$D$28,Payables!$F$5:$F$28,"&gt;="&amp;Assumptions!$B$35,Payables!$F$5:$F$28,"&lt;="&amp;Assumptions!$C$35,Payables!$E$5:$E$28,"&lt;&gt;Card",Payables!$A$5:$A$28,"&lt;&gt;Complete AV Solutions",Payables!$A$5:$A$28,"&lt;&gt;Investa Asset Management")</f>
        <v/>
      </c>
      <c r="E30" s="13">
        <f>SUMIFS(Payables!$D$5:$D$28,Payables!$F$5:$F$28,"&gt;="&amp;Assumptions!$B$36,Payables!$F$5:$F$28,"&lt;="&amp;Assumptions!$C$36,Payables!$E$5:$E$28,"&lt;&gt;Card",Payables!$A$5:$A$28,"&lt;&gt;Complete AV Solutions",Payables!$A$5:$A$28,"&lt;&gt;Investa Asset Management")</f>
        <v/>
      </c>
      <c r="F30" s="13">
        <f>SUMIFS(Payables!$D$5:$D$28,Payables!$F$5:$F$28,"&gt;="&amp;Assumptions!$B$37,Payables!$F$5:$F$28,"&lt;="&amp;Assumptions!$C$37,Payables!$E$5:$E$28,"&lt;&gt;Card",Payables!$A$5:$A$28,"&lt;&gt;Complete AV Solutions",Payables!$A$5:$A$28,"&lt;&gt;Investa Asset Management")</f>
        <v/>
      </c>
      <c r="G30" s="13">
        <f>SUM(B30:F30)</f>
        <v/>
      </c>
      <c r="H30" s="14" t="inlineStr">
        <is>
          <t>Payables tab, all other open bills by planned payment date. Card-paid bills excluded.</t>
        </is>
      </c>
    </row>
    <row r="31">
      <c r="A31" s="12" t="inlineStr">
        <is>
          <t>October recurring bills not yet in Xero (First Focus, RJW, advisory etc.)</t>
        </is>
      </c>
      <c r="B31" s="13">
        <f>SUMIFS(Payables!$D$33:$D$49,Payables!$F$33:$F$49,"&gt;="&amp;Assumptions!$B$33,Payables!$F$33:$F$49,"&lt;="&amp;Assumptions!$C$33,Payables!$E$33:$E$49,"&lt;&gt;Card")</f>
        <v/>
      </c>
      <c r="C31" s="13">
        <f>SUMIFS(Payables!$D$33:$D$49,Payables!$F$33:$F$49,"&gt;="&amp;Assumptions!$B$34,Payables!$F$33:$F$49,"&lt;="&amp;Assumptions!$C$34,Payables!$E$33:$E$49,"&lt;&gt;Card")</f>
        <v/>
      </c>
      <c r="D31" s="13">
        <f>SUMIFS(Payables!$D$33:$D$49,Payables!$F$33:$F$49,"&gt;="&amp;Assumptions!$B$35,Payables!$F$33:$F$49,"&lt;="&amp;Assumptions!$C$35,Payables!$E$33:$E$49,"&lt;&gt;Card")</f>
        <v/>
      </c>
      <c r="E31" s="13">
        <f>SUMIFS(Payables!$D$33:$D$49,Payables!$F$33:$F$49,"&gt;="&amp;Assumptions!$B$36,Payables!$F$33:$F$49,"&lt;="&amp;Assumptions!$C$36,Payables!$E$33:$E$49,"&lt;&gt;Card")</f>
        <v/>
      </c>
      <c r="F31" s="13">
        <f>SUMIFS(Payables!$D$33:$D$49,Payables!$F$33:$F$49,"&gt;="&amp;Assumptions!$B$37,Payables!$F$33:$F$49,"&lt;="&amp;Assumptions!$C$37,Payables!$E$33:$E$49,"&lt;&gt;Card")</f>
        <v/>
      </c>
      <c r="G31" s="13">
        <f>SUM(B31:F31)</f>
        <v/>
      </c>
      <c r="H31" s="14" t="inlineStr">
        <is>
          <t>Payables tab, second block - from Xero repeating-bill templates.</t>
        </is>
      </c>
    </row>
    <row r="32">
      <c r="A32" s="12" t="inlineStr">
        <is>
          <t>Credit card settlements (PL + DL cards)</t>
        </is>
      </c>
      <c r="B32" s="13">
        <f>Assumptions!$B$25*0.2</f>
        <v/>
      </c>
      <c r="C32" s="13">
        <f>Assumptions!$B$25*0.2</f>
        <v/>
      </c>
      <c r="D32" s="13">
        <f>Assumptions!$B$25*0.2</f>
        <v/>
      </c>
      <c r="E32" s="13">
        <f>Assumptions!$B$25*0.2</f>
        <v/>
      </c>
      <c r="F32" s="13">
        <f>Assumptions!$B$25*0.2</f>
        <v/>
      </c>
      <c r="G32" s="13">
        <f>SUM(B32:F32)</f>
        <v/>
      </c>
      <c r="H32" s="14" t="inlineStr">
        <is>
          <t>Assumptions tab, spread evenly. Covers every 'paid via CC' bill and card spend.</t>
        </is>
      </c>
    </row>
    <row r="33">
      <c r="A33" s="12" t="inlineStr">
        <is>
          <t>Other direct costs not yet billed (subcontractors, hires, equipment)</t>
        </is>
      </c>
      <c r="B33" s="13">
        <f>Assumptions!$B$26*0.2</f>
        <v/>
      </c>
      <c r="C33" s="13">
        <f>Assumptions!$B$26*0.2</f>
        <v/>
      </c>
      <c r="D33" s="13">
        <f>Assumptions!$B$26*0.2</f>
        <v/>
      </c>
      <c r="E33" s="13">
        <f>Assumptions!$B$26*0.2</f>
        <v/>
      </c>
      <c r="F33" s="13">
        <f>Assumptions!$B$26*0.2</f>
        <v/>
      </c>
      <c r="G33" s="13">
        <f>SUM(B33:F33)</f>
        <v/>
      </c>
      <c r="H33" s="14" t="inlineStr">
        <is>
          <t>Assumptions tab estimate, spread evenly. Biggest swing factor after Aware/Complete AV.</t>
        </is>
      </c>
    </row>
    <row r="34">
      <c r="A34" s="12" t="inlineStr">
        <is>
          <t>Other overheads not itemised</t>
        </is>
      </c>
      <c r="B34" s="13">
        <f>Assumptions!$B$27*0.2</f>
        <v/>
      </c>
      <c r="C34" s="13">
        <f>Assumptions!$B$27*0.2</f>
        <v/>
      </c>
      <c r="D34" s="13">
        <f>Assumptions!$B$27*0.2</f>
        <v/>
      </c>
      <c r="E34" s="13">
        <f>Assumptions!$B$27*0.2</f>
        <v/>
      </c>
      <c r="F34" s="13">
        <f>Assumptions!$B$27*0.2</f>
        <v/>
      </c>
      <c r="G34" s="13">
        <f>SUM(B34:F34)</f>
        <v/>
      </c>
      <c r="H34" s="14" t="inlineStr">
        <is>
          <t>Assumptions tab estimate, spread evenly.</t>
        </is>
      </c>
    </row>
    <row r="35">
      <c r="A35" s="19" t="inlineStr">
        <is>
          <t>Subtotal suppliers &amp; overheads</t>
        </is>
      </c>
      <c r="B35" s="20">
        <f>SUM(B28:B34)</f>
        <v/>
      </c>
      <c r="C35" s="20">
        <f>SUM(C28:C34)</f>
        <v/>
      </c>
      <c r="D35" s="20">
        <f>SUM(D28:D34)</f>
        <v/>
      </c>
      <c r="E35" s="20">
        <f>SUM(E28:E34)</f>
        <v/>
      </c>
      <c r="F35" s="20">
        <f>SUM(F28:F34)</f>
        <v/>
      </c>
      <c r="G35" s="20">
        <f>SUM(G28:G34)</f>
        <v/>
      </c>
    </row>
    <row r="36">
      <c r="A36" s="15" t="inlineStr">
        <is>
          <t>TOTAL PAYMENTS</t>
        </is>
      </c>
      <c r="B36" s="16">
        <f>B25+B35</f>
        <v/>
      </c>
      <c r="C36" s="16">
        <f>C25+C35</f>
        <v/>
      </c>
      <c r="D36" s="16">
        <f>D25+D35</f>
        <v/>
      </c>
      <c r="E36" s="16">
        <f>E25+E35</f>
        <v/>
      </c>
      <c r="F36" s="16">
        <f>F25+F35</f>
        <v/>
      </c>
      <c r="G36" s="16">
        <f>G25+G35</f>
        <v/>
      </c>
      <c r="H36" s="17" t="n"/>
    </row>
    <row r="38">
      <c r="A38" s="19" t="inlineStr">
        <is>
          <t>NET CASH FLOW FOR THE WEEK</t>
        </is>
      </c>
      <c r="B38" s="21">
        <f>B16-B36</f>
        <v/>
      </c>
      <c r="C38" s="21">
        <f>C16-C36</f>
        <v/>
      </c>
      <c r="D38" s="21">
        <f>D16-D36</f>
        <v/>
      </c>
      <c r="E38" s="21">
        <f>E16-E36</f>
        <v/>
      </c>
      <c r="F38" s="21">
        <f>F16-F36</f>
        <v/>
      </c>
      <c r="G38" s="21">
        <f>G16-G36</f>
        <v/>
      </c>
    </row>
    <row r="39">
      <c r="A39" s="15" t="inlineStr">
        <is>
          <t>CLOSING CASH (all bank accounts)</t>
        </is>
      </c>
      <c r="B39" s="16">
        <f>B8+B38</f>
        <v/>
      </c>
      <c r="C39" s="16">
        <f>C8+C38</f>
        <v/>
      </c>
      <c r="D39" s="16">
        <f>D8+D38</f>
        <v/>
      </c>
      <c r="E39" s="16">
        <f>E8+E38</f>
        <v/>
      </c>
      <c r="F39" s="16">
        <f>F8+F38</f>
        <v/>
      </c>
      <c r="G39" s="16">
        <f>F39</f>
        <v/>
      </c>
      <c r="H39" s="17" t="n"/>
    </row>
    <row r="41">
      <c r="A41" s="11" t="inlineStr">
        <is>
          <t>MEMO</t>
        </is>
      </c>
    </row>
    <row r="42">
      <c r="A42" s="12" t="inlineStr">
        <is>
          <t>Total payroll-related cash out (net wages + super + payroll tax + BAS)</t>
        </is>
      </c>
      <c r="B42" s="13">
        <f>B25</f>
        <v/>
      </c>
      <c r="C42" s="13">
        <f>C25</f>
        <v/>
      </c>
      <c r="D42" s="13">
        <f>D25</f>
        <v/>
      </c>
      <c r="E42" s="13">
        <f>E25</f>
        <v/>
      </c>
      <c r="F42" s="13">
        <f>F25</f>
        <v/>
      </c>
      <c r="G42" s="13">
        <f>G25</f>
        <v/>
      </c>
    </row>
    <row r="43">
      <c r="A43" s="12" t="inlineStr">
        <is>
          <t>Cash needed in the cheque account on pay day (net wages + super)</t>
        </is>
      </c>
      <c r="B43" s="13">
        <f>B20+B21</f>
        <v/>
      </c>
      <c r="C43" s="13">
        <f>C20+C21</f>
        <v/>
      </c>
      <c r="D43" s="13">
        <f>D20+D21</f>
        <v/>
      </c>
      <c r="E43" s="13">
        <f>E20+E21</f>
        <v/>
      </c>
      <c r="F43" s="13">
        <f>F20+F21</f>
        <v/>
      </c>
      <c r="H43" s="14" t="inlineStr">
        <is>
          <t>Checklist step 63-65: transfer from savings before upload, leaving ~$20k buffer.</t>
        </is>
      </c>
    </row>
    <row r="44">
      <c r="A44" s="12" t="inlineStr">
        <is>
          <t>Closing cash as weeks of payroll cover (net wages + super per fortnight / 2)</t>
        </is>
      </c>
      <c r="B44" s="22">
        <f>IF(Payroll!$H$5=0,0,B39/(Payroll!$H$5/2))</f>
        <v/>
      </c>
      <c r="C44" s="22">
        <f>IF(Payroll!$H$5=0,0,C39/(Payroll!$H$5/2))</f>
        <v/>
      </c>
      <c r="D44" s="22">
        <f>IF(Payroll!$H$5=0,0,D39/(Payroll!$H$5/2))</f>
        <v/>
      </c>
      <c r="E44" s="22">
        <f>IF(Payroll!$H$5=0,0,E39/(Payroll!$H$5/2))</f>
        <v/>
      </c>
      <c r="F44" s="22">
        <f>IF(Payroll!$H$5=0,0,F39/(Payroll!$H$5/2))</f>
        <v/>
      </c>
      <c r="H44" s="14" t="inlineStr">
        <is>
          <t>How many weeks of net payroll + super the closing balance would cover if no more cash came in.</t>
        </is>
      </c>
    </row>
    <row r="45">
      <c r="A45" s="12" t="inlineStr">
        <is>
          <t>Receivables still expected after 1 Nov (not in this forecast)</t>
        </is>
      </c>
      <c r="G45" s="13">
        <f>SUMIFS(Receivables!$F$5:$F$52,Receivables!$H$5:$H$52,"&gt;"&amp;Assumptions!$C$37)</f>
        <v/>
      </c>
      <c r="H45" s="14" t="inlineStr">
        <is>
          <t>PwC September contract invoices, Meet Magic, Property NSW.</t>
        </is>
      </c>
    </row>
    <row r="47">
      <c r="A47" s="11" t="inlineStr">
        <is>
          <t>KEY RISKS &amp; THINGS TO CONFIRM</t>
        </is>
      </c>
    </row>
    <row r="48" ht="30" customHeight="1">
      <c r="A48" s="23" t="inlineStr">
        <is>
          <t>1. Aware Super $225,887 (INV-10596, due 9 Oct) is 39% of all expected receipts. Complete AV $178,119 must stay on hold until it lands - if Aware slips a week, move both lines (Receivables row 12 / Payables row 6).</t>
        </is>
      </c>
    </row>
    <row r="49" ht="30" customHeight="1">
      <c r="A49" s="23" t="inlineStr">
        <is>
          <t>2. Ventia $58,025 is a month overdue and Ventia's other three invoices ($36,677) are assumed to come in 2-3 weeks late. Chase this week.</t>
        </is>
      </c>
    </row>
    <row r="50" ht="30" customHeight="1">
      <c r="A50" s="23" t="inlineStr">
        <is>
          <t>3. Payroll is the fixed commitment: ~$100k leaves the cheque account on 6 Oct and again on 20 Oct (net pay + super). Payroll tax ~$9k on 7 Oct. Make sure the cheque account is topped up from savings before the ABA upload.</t>
        </is>
      </c>
    </row>
    <row r="51" ht="30" customHeight="1">
      <c r="A51" s="23" t="inlineStr">
        <is>
          <t>4. BAS: the September-quarter BAS (Sep PAYG withholding ~$50k + net GST + any PAYG instalment) is assumed to be paid in November via the tax agent. If it is self-lodged it is due 28 Oct - flip the toggle on the Assumptions tab.</t>
        </is>
      </c>
    </row>
    <row r="52" ht="30" customHeight="1">
      <c r="A52" s="23" t="inlineStr">
        <is>
          <t>5. 'Other direct costs not yet billed' ($100k) and 'Other overheads' ($15k) are estimates from the FY27 GL run-rate. October is budgeted as a heavy Production month, so hires and subcontractor spend could exceed this.</t>
        </is>
      </c>
    </row>
    <row r="53" ht="30" customHeight="1">
      <c r="A53" s="23" t="inlineStr">
        <is>
          <t>6. Two debts totalling $24,809 (Meet Magic, Property NSW) are 3-4 months overdue and excluded. Escalate or provide for them.</t>
        </is>
      </c>
    </row>
    <row r="54" ht="30" customHeight="1">
      <c r="A54" s="23" t="inlineStr">
        <is>
          <t>7. Not visible through the Xero connector and therefore NOT included: director/shareholder drawings, dividends, loan movements, insurance instalments, income tax instalment amounts, and the cheque/savings split of the opening balance.</t>
        </is>
      </c>
    </row>
  </sheetData>
  <mergeCells count="7">
    <mergeCell ref="A50:H50"/>
    <mergeCell ref="A48:H48"/>
    <mergeCell ref="A53:H53"/>
    <mergeCell ref="A54:H54"/>
    <mergeCell ref="A51:H51"/>
    <mergeCell ref="A52:H52"/>
    <mergeCell ref="A49:H49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95" customWidth="1" min="3" max="3"/>
  </cols>
  <sheetData>
    <row r="1">
      <c r="A1" s="1" t="inlineStr">
        <is>
          <t>CTS Cash Flow Forecast - Assumptions &amp; Inputs</t>
        </is>
      </c>
    </row>
    <row r="2">
      <c r="A2" s="2" t="inlineStr">
        <is>
          <t>Blue = input you can change. Black = formula. Yellow = key assumptions to confirm. All $ are AUD, GST inclusive (cash actually moving).</t>
        </is>
      </c>
    </row>
    <row r="4">
      <c r="A4" s="24" t="inlineStr">
        <is>
          <t>TIMING &amp; OPENING POSITION</t>
        </is>
      </c>
      <c r="B4" s="6" t="n"/>
      <c r="C4" s="6" t="n"/>
    </row>
    <row r="5">
      <c r="A5" s="12" t="inlineStr">
        <is>
          <t>Forecast start (Monday of this week)</t>
        </is>
      </c>
      <c r="B5" s="25" t="n">
        <v>46293</v>
      </c>
      <c r="C5" s="14" t="inlineStr">
        <is>
          <t>Today is Mon 28 Sep 2026. Only 3 days of September remain, so the forecast runs this week plus the four full October weeks (to Sun 1 Nov).</t>
        </is>
      </c>
    </row>
    <row r="6">
      <c r="A6" s="12" t="inlineStr">
        <is>
          <t>Opening cash - all bank accounts</t>
        </is>
      </c>
      <c r="B6" s="26" t="n">
        <v>909159.55</v>
      </c>
      <c r="C6" s="14" t="inlineStr">
        <is>
          <t>Xero cash position report, 28 Sep 2026 (cheque, savings, PL/DL credit cards etc. combined). Xero MCP does not give the split per account - payroll is paid from the cheque account with top-ups from savings, so check the cheque balance separately.</t>
        </is>
      </c>
    </row>
    <row r="7">
      <c r="A7" s="12" t="inlineStr">
        <is>
          <t>Number of weeks</t>
        </is>
      </c>
      <c r="B7" s="27" t="n">
        <v>5</v>
      </c>
      <c r="C7" s="14" t="inlineStr">
        <is>
          <t>Wk1 28 Sep-4 Oct, Wk2 5-11 Oct, Wk3 12-18 Oct, Wk4 19-25 Oct, Wk5 26 Oct-1 Nov.</t>
        </is>
      </c>
    </row>
    <row r="8">
      <c r="A8" s="24" t="inlineStr">
        <is>
          <t>PAYROLL (fortnightly, paid Tuesday of processing week)</t>
        </is>
      </c>
      <c r="B8" s="6" t="n"/>
      <c r="C8" s="6" t="n"/>
    </row>
    <row r="9">
      <c r="A9" s="12" t="inlineStr">
        <is>
          <t>Gross wages per fortnight</t>
        </is>
      </c>
      <c r="B9" s="28" t="n">
        <v>111000</v>
      </c>
      <c r="C9" s="14" t="inlineStr">
        <is>
          <t>Average of the last three known pay runs: 11 Aug $108,325 and 25 Aug $115,340 (Controller Pack GL journals #69396, #69669) and the two September runs $217,062 combined (Xero cash P&amp;L 1-28 Sep). See Payroll tab.</t>
        </is>
      </c>
    </row>
    <row r="10">
      <c r="A10" s="12" t="inlineStr">
        <is>
          <t>Net pay as % of gross</t>
        </is>
      </c>
      <c r="B10" s="29" t="n">
        <v>0.77</v>
      </c>
      <c r="C10" s="14" t="inlineStr">
        <is>
          <t>25 Aug run: gross ~$115k, ABA file ~$88-89k (Payroll Part 6 transcript, 03:16-04:12). 88.5/115.3 = 76.8%. The rest is PAYG withholding and salary-sacrifice deductions.</t>
        </is>
      </c>
    </row>
    <row r="11">
      <c r="A11" s="12" t="inlineStr">
        <is>
          <t>PAYG withheld as % of gross</t>
        </is>
      </c>
      <c r="B11" s="30">
        <f>1-B9</f>
        <v/>
      </c>
      <c r="C11" s="14" t="inlineStr">
        <is>
          <t>Formula: 1 - net %. Paid to the ATO on the IAS/BAS, not on payday.</t>
        </is>
      </c>
    </row>
    <row r="12">
      <c r="A12" s="12" t="inlineStr">
        <is>
          <t>Superannuation as % of gross</t>
        </is>
      </c>
      <c r="B12" s="31" t="n">
        <v>0.1275</v>
      </c>
      <c r="C12" s="14" t="inlineStr">
        <is>
          <t>25 Aug run: super $14,678 / gross $115,340 = 12.7% (GL #69663). Sep: $27,816 / $217,062 = 12.8%. Above 12% SG because of salary-sacrifice super.</t>
        </is>
      </c>
    </row>
    <row r="13">
      <c r="A13" s="12" t="inlineStr">
        <is>
          <t>Pay date - run 1 (fortnight ending Fri 2 Oct)</t>
        </is>
      </c>
      <c r="B13" s="25" t="n">
        <v>46301</v>
      </c>
      <c r="C13" s="14" t="inlineStr">
        <is>
          <t>Pay date is always the Tuesday of the payroll processing week (Payroll Part 2 transcript; Checklist step 13). Super is direct-debited by Employment Hero at the same time (Checklist step 69) - Payday Super applies from 1 Jul 2026.</t>
        </is>
      </c>
    </row>
    <row r="14">
      <c r="A14" s="12" t="inlineStr">
        <is>
          <t>Pay date - run 2 (fortnight ending Fri 16 Oct)</t>
        </is>
      </c>
      <c r="B14" s="25" t="n">
        <v>46315</v>
      </c>
      <c r="C14" s="14" t="inlineStr">
        <is>
          <t>Next run after that is Tue 3 Nov (fortnight ending 30 Oct) - outside this forecast.</t>
        </is>
      </c>
    </row>
    <row r="15">
      <c r="A15" s="12" t="inlineStr">
        <is>
          <t>Payroll tax NSW - September return (due 7 Oct)</t>
        </is>
      </c>
      <c r="B15" s="28" t="n">
        <v>6295</v>
      </c>
      <c r="C15" s="14" t="inlineStr">
        <is>
          <t>August actual accrual $6,120.40 + $174.67 (GL journals #69671, #70351). NSW monthly return and payment due the 7th of the following month. Confirm against the Revenue NSW return when lodged.</t>
        </is>
      </c>
    </row>
    <row r="16">
      <c r="A16" s="12" t="inlineStr">
        <is>
          <t>Payroll tax other states (ACT/QLD/SA/VIC/WA) - Sep (due 7 Oct)</t>
        </is>
      </c>
      <c r="B16" s="28" t="n">
        <v>2700</v>
      </c>
      <c r="C16" s="14" t="inlineStr">
        <is>
          <t>August actual accrual $2,700 (GL #69670; July was $3,000). All these states are also due on the 7th of the following month.</t>
        </is>
      </c>
    </row>
    <row r="17">
      <c r="A17" s="12" t="inlineStr">
        <is>
          <t>Payroll tax payment date</t>
        </is>
      </c>
      <c r="B17" s="25" t="n">
        <v>46302</v>
      </c>
      <c r="C17" s="14" t="inlineStr">
        <is>
          <t>7 Oct 2026 is a Wednesday.</t>
        </is>
      </c>
    </row>
    <row r="18">
      <c r="A18" s="24" t="inlineStr">
        <is>
          <t>BAS / PAYG WITHHOLDING</t>
        </is>
      </c>
      <c r="B18" s="6" t="n"/>
      <c r="C18" s="6" t="n"/>
    </row>
    <row r="19">
      <c r="A19" s="12" t="inlineStr">
        <is>
          <t>Q1 BAS paid inside this forecast? (1 = yes, 0 = no)</t>
        </is>
      </c>
      <c r="B19" s="32" t="n">
        <v>0</v>
      </c>
      <c r="C19" s="14" t="inlineStr">
        <is>
          <t>Sep-quarter BAS is due 28 Oct if self-lodged, or 25 Nov if lodged through the tax agent. The Jun-quarter BAS was paid around 25 Aug (Part 6 transcript, 04:40), which matches the tax-agent date, so the default is 0 (paid in November). Set to 1 to see the October hit.</t>
        </is>
      </c>
    </row>
    <row r="20">
      <c r="A20" s="12" t="inlineStr">
        <is>
          <t>Sep PAYG withholding (goes on the Q1 BAS)</t>
        </is>
      </c>
      <c r="B20" s="13">
        <f>B10*217062</f>
        <v/>
      </c>
      <c r="C20" s="14" t="inlineStr">
        <is>
          <t>Formula: PAYG % x September gross wages $217,062 (Xero cash P&amp;L). July and August withholding were paid on the monthly IAS (21 Aug, 21 Sep).</t>
        </is>
      </c>
    </row>
    <row r="21">
      <c r="A21" s="12" t="inlineStr">
        <is>
          <t>Net GST payable for Sep quarter - ESTIMATE</t>
        </is>
      </c>
      <c r="B21" s="28" t="n">
        <v>50000</v>
      </c>
      <c r="C21" s="14" t="inlineStr">
        <is>
          <t>Rough: GST collected on ~$1.5m of quarterly receipts less GST on ~$1.0m of purchases. Replace with the figure from the Xero Activity Statement before relying on it.</t>
        </is>
      </c>
    </row>
    <row r="22">
      <c r="A22" s="12" t="inlineStr">
        <is>
          <t>PAYG income-tax instalment for Sep quarter</t>
        </is>
      </c>
      <c r="B22" s="33" t="n">
        <v>0</v>
      </c>
      <c r="C22" s="14" t="inlineStr">
        <is>
          <t>Unknown - not visible through the Xero connector. Enter the ATO instalment amount if one applies.</t>
        </is>
      </c>
    </row>
    <row r="23">
      <c r="A23" s="12" t="inlineStr">
        <is>
          <t>BAS payment date if paid in October</t>
        </is>
      </c>
      <c r="B23" s="25" t="n">
        <v>46323</v>
      </c>
      <c r="C23" s="14" t="inlineStr">
        <is>
          <t>Self-lodgement due date.</t>
        </is>
      </c>
    </row>
    <row r="24">
      <c r="A24" s="24" t="inlineStr">
        <is>
          <t>OTHER RECURRING OUTFLOWS (ESTIMATES)</t>
        </is>
      </c>
      <c r="B24" s="6" t="n"/>
      <c r="C24" s="6" t="n"/>
    </row>
    <row r="25">
      <c r="A25" s="12" t="inlineStr">
        <is>
          <t>Credit card settlements per month (PL + DL cards)</t>
        </is>
      </c>
      <c r="B25" s="33" t="n">
        <v>25000</v>
      </c>
      <c r="C25" s="14" t="inlineStr">
        <is>
          <t>September transfers from cheque to cards: $15,000 (8 Sep) + $4,224.75 (17 Sep) to PL card, $5,718.88 (18 Sep) to DL card = $24,944 (Xero unreconciled bank transactions). Covers every bill marked 'paid via PL/DL CC' so those are excluded from the Payables tab totals.</t>
        </is>
      </c>
    </row>
    <row r="26">
      <c r="A26" s="12" t="inlineStr">
        <is>
          <t>Other direct costs not yet billed - per month</t>
        </is>
      </c>
      <c r="B26" s="28" t="n">
        <v>100000</v>
      </c>
      <c r="C26" s="14" t="inlineStr">
        <is>
          <t>Sub-contractors, equipment/service hires, project equipment and licences that are invoiced and paid within the month. FY27 GL non-wage cost of sales: Jul $132k, Aug $147k (accrual). About 70% of that is cash within the month; the balance sits in creditors and is already listed. Budget flags October as a heavy Production month ($587k income budget) so this could run higher.</t>
        </is>
      </c>
    </row>
    <row r="27">
      <c r="A27" s="12" t="inlineStr">
        <is>
          <t>Other overheads not itemised - per month</t>
        </is>
      </c>
      <c r="B27" s="28" t="n">
        <v>15000</v>
      </c>
      <c r="C27" s="14" t="inlineStr">
        <is>
          <t>Recruitment, insurance, accounting/legal, amenities, bank fees, training - items not on the Payables tab. FY27 GL non-wage overheads ran $89k (Jul) and $102k (Aug) before rent, IT and the itemised bills.</t>
        </is>
      </c>
    </row>
    <row r="28">
      <c r="A28" s="12" t="inlineStr">
        <is>
          <t>October-dated invoices collected within October</t>
        </is>
      </c>
      <c r="B28" s="33" t="n">
        <v>20000</v>
      </c>
      <c r="C28" s="14" t="inlineStr">
        <is>
          <t>September evidence: invoices dated in Sep and paid in Sep (Ubank $10,867, RSNSW $3,587, CSIRO $1,971, Garvan, Elkiem, Bankwest event, St Vincent's) = ~$20k. Mostly card/Stripe payers.</t>
        </is>
      </c>
    </row>
    <row r="29">
      <c r="A29" s="12" t="inlineStr">
        <is>
          <t>Interest received on savings</t>
        </is>
      </c>
      <c r="B29" s="33" t="n">
        <v>600</v>
      </c>
      <c r="C29" s="14" t="inlineStr">
        <is>
          <t>September $648.92 (Xero cash P&amp;L). Falls on the last day of the month (week 5).</t>
        </is>
      </c>
    </row>
    <row r="31">
      <c r="A31" s="24" t="inlineStr">
        <is>
          <t>WEEK TABLE (calculated)</t>
        </is>
      </c>
      <c r="B31" s="6" t="n"/>
      <c r="C31" s="6" t="n"/>
    </row>
    <row r="32">
      <c r="A32" s="19" t="inlineStr">
        <is>
          <t>Week</t>
        </is>
      </c>
      <c r="B32" s="19" t="inlineStr">
        <is>
          <t>Start (Mon)</t>
        </is>
      </c>
      <c r="C32" s="19" t="inlineStr">
        <is>
          <t>End (Sun)</t>
        </is>
      </c>
    </row>
    <row r="33">
      <c r="A33" s="12" t="n">
        <v>1</v>
      </c>
      <c r="B33" s="34">
        <f>Assumptions!$B$5+0</f>
        <v/>
      </c>
      <c r="C33" s="34">
        <f>B33+6</f>
        <v/>
      </c>
    </row>
    <row r="34">
      <c r="A34" s="12" t="n">
        <v>2</v>
      </c>
      <c r="B34" s="34">
        <f>Assumptions!$B$5+7</f>
        <v/>
      </c>
      <c r="C34" s="34">
        <f>B34+6</f>
        <v/>
      </c>
    </row>
    <row r="35">
      <c r="A35" s="12" t="n">
        <v>3</v>
      </c>
      <c r="B35" s="34">
        <f>Assumptions!$B$5+14</f>
        <v/>
      </c>
      <c r="C35" s="34">
        <f>B35+6</f>
        <v/>
      </c>
    </row>
    <row r="36">
      <c r="A36" s="12" t="n">
        <v>4</v>
      </c>
      <c r="B36" s="34">
        <f>Assumptions!$B$5+21</f>
        <v/>
      </c>
      <c r="C36" s="34">
        <f>B36+6</f>
        <v/>
      </c>
    </row>
    <row r="37">
      <c r="A37" s="12" t="n">
        <v>5</v>
      </c>
      <c r="B37" s="34">
        <f>Assumptions!$B$5+28</f>
        <v/>
      </c>
      <c r="C37" s="34">
        <f>B37+6</f>
        <v/>
      </c>
    </row>
  </sheetData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0" customWidth="1" min="9" max="9"/>
  </cols>
  <sheetData>
    <row r="1">
      <c r="A1" s="1" t="inlineStr">
        <is>
          <t>Payroll schedule - October 2026</t>
        </is>
      </c>
    </row>
    <row r="2">
      <c r="A2" s="2" t="inlineStr">
        <is>
          <t>Fortnightly pay cycle. Pay date = Tuesday of the processing week. Super is direct-debited in the same week. PAYG withholding is paid later via IAS/BAS, not on payday.</t>
        </is>
      </c>
    </row>
    <row r="4">
      <c r="A4" s="35" t="inlineStr">
        <is>
          <t>Pay run</t>
        </is>
      </c>
      <c r="B4" s="35" t="inlineStr">
        <is>
          <t>Fortnight ending</t>
        </is>
      </c>
      <c r="C4" s="35" t="inlineStr">
        <is>
          <t>Pay date</t>
        </is>
      </c>
      <c r="D4" s="35" t="inlineStr">
        <is>
          <t>Gross wages</t>
        </is>
      </c>
      <c r="E4" s="35" t="inlineStr">
        <is>
          <t>Net pay (ABA file)</t>
        </is>
      </c>
      <c r="F4" s="35" t="inlineStr">
        <is>
          <t>PAYG withheld</t>
        </is>
      </c>
      <c r="G4" s="35" t="inlineStr">
        <is>
          <t>Super (direct debit)</t>
        </is>
      </c>
      <c r="H4" s="35" t="inlineStr">
        <is>
          <t>Cash out on payday (net + super)</t>
        </is>
      </c>
      <c r="I4" s="35" t="inlineStr">
        <is>
          <t>Notes</t>
        </is>
      </c>
    </row>
    <row r="5">
      <c r="A5" s="12" t="inlineStr">
        <is>
          <t>Run 1 - Oct</t>
        </is>
      </c>
      <c r="B5" s="25" t="n">
        <v>46297</v>
      </c>
      <c r="C5" s="36">
        <f>Assumptions!$B$13</f>
        <v/>
      </c>
      <c r="D5" s="37">
        <f>Assumptions!$B$9</f>
        <v/>
      </c>
      <c r="E5" s="13">
        <f>D5*Assumptions!$B$10</f>
        <v/>
      </c>
      <c r="F5" s="13">
        <f>D5*Assumptions!$B$11</f>
        <v/>
      </c>
      <c r="G5" s="13">
        <f>D5*Assumptions!$B$12</f>
        <v/>
      </c>
      <c r="H5" s="13">
        <f>E5+G5</f>
        <v/>
      </c>
      <c r="I5" s="14" t="inlineStr">
        <is>
          <t>Timesheets close Fri 2 Oct, prep starts that Friday, processed Mon 5 Oct, paid Tue 6 Oct.</t>
        </is>
      </c>
    </row>
    <row r="6">
      <c r="A6" s="12" t="inlineStr">
        <is>
          <t>Run 2 - Oct</t>
        </is>
      </c>
      <c r="B6" s="25" t="n">
        <v>46311</v>
      </c>
      <c r="C6" s="36">
        <f>Assumptions!$B$14</f>
        <v/>
      </c>
      <c r="D6" s="37">
        <f>Assumptions!$B$9</f>
        <v/>
      </c>
      <c r="E6" s="13">
        <f>D6*Assumptions!$B$10</f>
        <v/>
      </c>
      <c r="F6" s="13">
        <f>D6*Assumptions!$B$11</f>
        <v/>
      </c>
      <c r="G6" s="13">
        <f>D6*Assumptions!$B$12</f>
        <v/>
      </c>
      <c r="H6" s="13">
        <f>E6+G6</f>
        <v/>
      </c>
      <c r="I6" s="14" t="inlineStr">
        <is>
          <t>Last pay run of the month: accrue bonus leave (Checklist step 48) - no cash effect.</t>
        </is>
      </c>
    </row>
    <row r="7">
      <c r="A7" s="15" t="inlineStr">
        <is>
          <t>Total October pay runs</t>
        </is>
      </c>
      <c r="D7" s="16">
        <f>SUM(D5:D6)</f>
        <v/>
      </c>
      <c r="E7" s="16">
        <f>SUM(E5:E6)</f>
        <v/>
      </c>
      <c r="F7" s="16">
        <f>SUM(F5:F6)</f>
        <v/>
      </c>
      <c r="G7" s="16">
        <f>SUM(G5:G6)</f>
        <v/>
      </c>
      <c r="H7" s="16">
        <f>SUM(H5:H6)</f>
        <v/>
      </c>
    </row>
    <row r="9">
      <c r="A9" s="11" t="inlineStr">
        <is>
          <t>Payroll tax for September wages (paid October)</t>
        </is>
      </c>
    </row>
    <row r="10">
      <c r="A10" s="12" t="inlineStr">
        <is>
          <t>NSW - due 7 Oct</t>
        </is>
      </c>
      <c r="B10" s="37">
        <f>Assumptions!$B$15</f>
        <v/>
      </c>
      <c r="C10" s="36">
        <f>Assumptions!$B$17</f>
        <v/>
      </c>
    </row>
    <row r="11">
      <c r="A11" s="12" t="inlineStr">
        <is>
          <t>Other states - due 7 Oct</t>
        </is>
      </c>
      <c r="B11" s="37">
        <f>Assumptions!$B$16</f>
        <v/>
      </c>
      <c r="C11" s="36">
        <f>Assumptions!$B$17</f>
        <v/>
      </c>
    </row>
    <row r="12">
      <c r="A12" s="19" t="inlineStr">
        <is>
          <t>Total payroll tax</t>
        </is>
      </c>
      <c r="B12" s="21">
        <f>B10+B11</f>
        <v/>
      </c>
    </row>
    <row r="13">
      <c r="A13" s="2" t="inlineStr">
        <is>
          <t>Payroll tax for October wages is due 7 Nov - outside this forecast.</t>
        </is>
      </c>
    </row>
    <row r="15">
      <c r="A15" s="11" t="inlineStr">
        <is>
          <t>Reference - actual pay runs this financial year</t>
        </is>
      </c>
    </row>
    <row r="16">
      <c r="A16" s="3" t="inlineStr">
        <is>
          <t>Pay run</t>
        </is>
      </c>
      <c r="B16" s="3" t="inlineStr">
        <is>
          <t>Pay date</t>
        </is>
      </c>
      <c r="C16" s="3" t="inlineStr">
        <is>
          <t>Gross wages</t>
        </is>
      </c>
      <c r="D16" s="3" t="inlineStr">
        <is>
          <t>Super</t>
        </is>
      </c>
      <c r="E16" s="3" t="inlineStr">
        <is>
          <t>Super % of gross</t>
        </is>
      </c>
      <c r="F16" s="3" t="inlineStr">
        <is>
          <t>Source</t>
        </is>
      </c>
    </row>
    <row r="17">
      <c r="A17" s="12" t="inlineStr">
        <is>
          <t>FE 10 Jul</t>
        </is>
      </c>
      <c r="B17" s="25" t="n">
        <v>46217</v>
      </c>
      <c r="C17" s="33" t="n">
        <v>104335.03</v>
      </c>
      <c r="D17" s="33" t="n">
        <v>13289.41</v>
      </c>
      <c r="E17" s="30">
        <f>IF(C17=0,0,D17/C17)</f>
        <v/>
      </c>
      <c r="F17" s="2" t="inlineStr">
        <is>
          <t>Controller Pack GL_Paste journals #69527 / #69434</t>
        </is>
      </c>
    </row>
    <row r="18">
      <c r="A18" s="12" t="inlineStr">
        <is>
          <t>FE 24 Jul</t>
        </is>
      </c>
      <c r="B18" s="25" t="n">
        <v>46231</v>
      </c>
      <c r="C18" s="33" t="n">
        <v>101030.18</v>
      </c>
      <c r="D18" s="33" t="n">
        <v>13068.87</v>
      </c>
      <c r="E18" s="30">
        <f>IF(C18=0,0,D18/C18)</f>
        <v/>
      </c>
      <c r="F18" s="2" t="inlineStr">
        <is>
          <t>GL journals #68743 / #68744</t>
        </is>
      </c>
    </row>
    <row r="19">
      <c r="A19" s="12" t="inlineStr">
        <is>
          <t>FE 7 Aug</t>
        </is>
      </c>
      <c r="B19" s="25" t="n">
        <v>46245</v>
      </c>
      <c r="C19" s="33" t="n">
        <v>108324.58</v>
      </c>
      <c r="D19" s="33" t="n">
        <v>13783.25</v>
      </c>
      <c r="E19" s="30">
        <f>IF(C19=0,0,D19/C19)</f>
        <v/>
      </c>
      <c r="F19" s="2" t="inlineStr">
        <is>
          <t>GL journals #69396 / #69397</t>
        </is>
      </c>
    </row>
    <row r="20">
      <c r="A20" s="12" t="inlineStr">
        <is>
          <t>FE 21 Aug</t>
        </is>
      </c>
      <c r="B20" s="25" t="n">
        <v>46259</v>
      </c>
      <c r="C20" s="33" t="n">
        <v>115339.8</v>
      </c>
      <c r="D20" s="33" t="n">
        <v>14677.93</v>
      </c>
      <c r="E20" s="30">
        <f>IF(C20=0,0,D20/C20)</f>
        <v/>
      </c>
      <c r="F20" s="2" t="inlineStr">
        <is>
          <t>GL journals #69669 / #69663 (the run shown in the training videos)</t>
        </is>
      </c>
    </row>
    <row r="21">
      <c r="A21" s="12" t="inlineStr">
        <is>
          <t>FE 4 Sep + FE 18 Sep (two runs)</t>
        </is>
      </c>
      <c r="B21" s="25" t="n">
        <v>46287</v>
      </c>
      <c r="C21" s="33" t="n">
        <v>217061.76</v>
      </c>
      <c r="D21" s="33" t="n">
        <v>27815.63</v>
      </c>
      <c r="E21" s="30">
        <f>IF(C21=0,0,D21/C21)</f>
        <v/>
      </c>
      <c r="F21" s="2" t="inlineStr">
        <is>
          <t>Xero cash-basis P&amp;L 1-28 Sep 2026: all Direct/Indirect Salaries &amp; Wages accounts; Direct + Indirect Superannuation</t>
        </is>
      </c>
    </row>
    <row r="22">
      <c r="A22" s="19" t="inlineStr">
        <is>
          <t>Average gross per fortnight (last 4 fortnights)</t>
        </is>
      </c>
      <c r="B22" s="21">
        <f>(C19+C20+C21)/4</f>
        <v/>
      </c>
      <c r="C22" s="2" t="inlineStr">
        <is>
          <t>Aug runs plus the two Sep runs, divided by four fortnights</t>
        </is>
      </c>
    </row>
    <row r="24">
      <c r="A24" s="11" t="inlineStr">
        <is>
          <t>Reference - payroll tax accruals this financial year</t>
        </is>
      </c>
    </row>
    <row r="25">
      <c r="A25" s="3" t="inlineStr">
        <is>
          <t>Month</t>
        </is>
      </c>
      <c r="B25" s="3" t="inlineStr">
        <is>
          <t>NSW</t>
        </is>
      </c>
      <c r="C25" s="3" t="inlineStr">
        <is>
          <t>Other states</t>
        </is>
      </c>
      <c r="D25" s="3" t="inlineStr">
        <is>
          <t>Total</t>
        </is>
      </c>
      <c r="E25" s="3" t="inlineStr">
        <is>
          <t>Source</t>
        </is>
      </c>
    </row>
    <row r="26">
      <c r="A26" s="12" t="inlineStr">
        <is>
          <t>July 2026</t>
        </is>
      </c>
      <c r="B26" s="33" t="n">
        <v>5170.8</v>
      </c>
      <c r="C26" s="33" t="n">
        <v>3000</v>
      </c>
      <c r="D26" s="13">
        <f>B26+C26</f>
        <v/>
      </c>
      <c r="E26" s="2" t="inlineStr">
        <is>
          <t>GL journals #68926 (NSW) and #68927 (other states)</t>
        </is>
      </c>
    </row>
    <row r="27">
      <c r="A27" s="12" t="inlineStr">
        <is>
          <t>August 2026</t>
        </is>
      </c>
      <c r="B27" s="33" t="n">
        <v>6295.07</v>
      </c>
      <c r="C27" s="33" t="n">
        <v>2700</v>
      </c>
      <c r="D27" s="13">
        <f>B27+C27</f>
        <v/>
      </c>
      <c r="E27" s="2" t="inlineStr">
        <is>
          <t>GL journals #69671 + #70351 (NSW) and #69670 (other states)</t>
        </is>
      </c>
    </row>
    <row r="28">
      <c r="A28" s="2" t="inlineStr">
        <is>
          <t>Note: FY27 budget has payroll tax at ~$7.4k/month; actuals are running ~$9k/month, so actuals are used.</t>
        </is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44" customWidth="1" min="3" max="3"/>
    <col width="12" customWidth="1" min="4" max="4"/>
    <col width="12" customWidth="1" min="5" max="5"/>
    <col width="14" customWidth="1" min="6" max="6"/>
    <col width="13" customWidth="1" min="7" max="7"/>
    <col width="16" customWidth="1" min="8" max="8"/>
    <col width="11" customWidth="1" min="9" max="9"/>
    <col width="8" customWidth="1" min="10" max="10"/>
    <col width="60" customWidth="1" min="11" max="11"/>
  </cols>
  <sheetData>
    <row r="1">
      <c r="A1" s="1" t="inlineStr">
        <is>
          <t>Receivables - every open invoice and when the cash is expected</t>
        </is>
      </c>
    </row>
    <row r="2">
      <c r="A2" s="2" t="inlineStr">
        <is>
          <t>Source: Xero aged receivables 28 Sep 2026 ($580,292.39, 38 invoices) plus the September contract invoices still to be raised (Xero repeating invoice templates). Expected date (blue) is a judgement based on each customer's recent paying pattern - change it and the forecast moves.</t>
        </is>
      </c>
    </row>
    <row r="4">
      <c r="A4" s="35" t="inlineStr">
        <is>
          <t>Customer</t>
        </is>
      </c>
      <c r="B4" s="35" t="inlineStr">
        <is>
          <t>Invoice</t>
        </is>
      </c>
      <c r="C4" s="35" t="inlineStr">
        <is>
          <t>Reference</t>
        </is>
      </c>
      <c r="D4" s="35" t="inlineStr">
        <is>
          <t>Invoice date</t>
        </is>
      </c>
      <c r="E4" s="35" t="inlineStr">
        <is>
          <t>Due date</t>
        </is>
      </c>
      <c r="F4" s="35" t="inlineStr">
        <is>
          <t>Amount (incl GST)</t>
        </is>
      </c>
      <c r="G4" s="35" t="inlineStr">
        <is>
          <t>Status</t>
        </is>
      </c>
      <c r="H4" s="35" t="inlineStr">
        <is>
          <t>Expected receipt date</t>
        </is>
      </c>
      <c r="I4" s="35" t="inlineStr">
        <is>
          <t>Days after due</t>
        </is>
      </c>
      <c r="J4" s="35" t="inlineStr">
        <is>
          <t>Week</t>
        </is>
      </c>
      <c r="K4" s="35" t="inlineStr">
        <is>
          <t>Basis for expected date</t>
        </is>
      </c>
    </row>
    <row r="5">
      <c r="A5" s="12" t="inlineStr">
        <is>
          <t>APT Management Services (APA)</t>
        </is>
      </c>
      <c r="B5" s="12" t="inlineStr">
        <is>
          <t>INV-10622</t>
        </is>
      </c>
      <c r="C5" s="12" t="inlineStr">
        <is>
          <t>PO-00030884</t>
        </is>
      </c>
      <c r="D5" s="38" t="n">
        <v>46275</v>
      </c>
      <c r="E5" s="38" t="n">
        <v>46305</v>
      </c>
      <c r="F5" s="26" t="n">
        <v>4352.45</v>
      </c>
      <c r="G5" s="27" t="inlineStr">
        <is>
          <t>Current</t>
        </is>
      </c>
      <c r="H5" s="38" t="n">
        <v>46304</v>
      </c>
      <c r="I5" s="39">
        <f>H5-E5</f>
        <v/>
      </c>
      <c r="J5" s="12">
        <f>IF(H5&lt;Assumptions!$B$5,"Before",IF(H5&gt;Assumptions!$C$37,"After",INT((H5-Assumptions!$B$5)/7)+1))</f>
        <v/>
      </c>
      <c r="K5" s="14" t="inlineStr">
        <is>
          <t>APA paid its last invoice the day after issue</t>
        </is>
      </c>
    </row>
    <row r="6">
      <c r="A6" s="12" t="inlineStr">
        <is>
          <t>APT Management Services (APA)</t>
        </is>
      </c>
      <c r="B6" s="12" t="inlineStr">
        <is>
          <t>INV-10628</t>
        </is>
      </c>
      <c r="C6" s="12" t="inlineStr">
        <is>
          <t>APA RUOK Event 10.09.2026</t>
        </is>
      </c>
      <c r="D6" s="38" t="n">
        <v>46281</v>
      </c>
      <c r="E6" s="38" t="n">
        <v>46311</v>
      </c>
      <c r="F6" s="26" t="n">
        <v>627</v>
      </c>
      <c r="G6" s="27" t="inlineStr">
        <is>
          <t>Current</t>
        </is>
      </c>
      <c r="H6" s="38" t="n">
        <v>46311</v>
      </c>
      <c r="I6" s="39">
        <f>H6-E6</f>
        <v/>
      </c>
      <c r="J6" s="12">
        <f>IF(H6&lt;Assumptions!$B$5,"Before",IF(H6&gt;Assumptions!$C$37,"After",INT((H6-Assumptions!$B$5)/7)+1))</f>
        <v/>
      </c>
      <c r="K6" s="14" t="inlineStr">
        <is>
          <t>On due date</t>
        </is>
      </c>
    </row>
    <row r="7">
      <c r="A7" s="12" t="inlineStr">
        <is>
          <t>ASX Operations</t>
        </is>
      </c>
      <c r="B7" s="12" t="inlineStr">
        <is>
          <t>INV-10599</t>
        </is>
      </c>
      <c r="C7" s="12" t="inlineStr">
        <is>
          <t>ASX Employee Town Hall 13.08.2026</t>
        </is>
      </c>
      <c r="D7" s="38" t="n">
        <v>46261</v>
      </c>
      <c r="E7" s="38" t="n">
        <v>46291</v>
      </c>
      <c r="F7" s="26" t="n">
        <v>1661</v>
      </c>
      <c r="G7" s="27" t="inlineStr">
        <is>
          <t>Overdue</t>
        </is>
      </c>
      <c r="H7" s="38" t="n">
        <v>46297</v>
      </c>
      <c r="I7" s="39">
        <f>H7-E7</f>
        <v/>
      </c>
      <c r="J7" s="12">
        <f>IF(H7&lt;Assumptions!$B$5,"Before",IF(H7&gt;Assumptions!$C$37,"After",INT((H7-Assumptions!$B$5)/7)+1))</f>
        <v/>
      </c>
      <c r="K7" s="14" t="inlineStr">
        <is>
          <t>ASX paid its Aug invoices ~4 days late</t>
        </is>
      </c>
    </row>
    <row r="8">
      <c r="A8" s="12" t="inlineStr">
        <is>
          <t>ASX Operations</t>
        </is>
      </c>
      <c r="B8" s="12" t="inlineStr">
        <is>
          <t>INV-10624</t>
        </is>
      </c>
      <c r="C8" s="12" t="inlineStr">
        <is>
          <t>ASX CEO Connect Series 01.09.2026</t>
        </is>
      </c>
      <c r="D8" s="38" t="n">
        <v>46280</v>
      </c>
      <c r="E8" s="38" t="n">
        <v>46310</v>
      </c>
      <c r="F8" s="26" t="n">
        <v>4591.4</v>
      </c>
      <c r="G8" s="27" t="inlineStr">
        <is>
          <t>Current</t>
        </is>
      </c>
      <c r="H8" s="38" t="n">
        <v>46311</v>
      </c>
      <c r="I8" s="39">
        <f>H8-E8</f>
        <v/>
      </c>
      <c r="J8" s="12">
        <f>IF(H8&lt;Assumptions!$B$5,"Before",IF(H8&gt;Assumptions!$C$37,"After",INT((H8-Assumptions!$B$5)/7)+1))</f>
        <v/>
      </c>
      <c r="K8" s="14" t="inlineStr">
        <is>
          <t>Due date + a day</t>
        </is>
      </c>
    </row>
    <row r="9">
      <c r="A9" s="12" t="inlineStr">
        <is>
          <t>ASX Operations</t>
        </is>
      </c>
      <c r="B9" s="12" t="inlineStr">
        <is>
          <t>INV-10623</t>
        </is>
      </c>
      <c r="C9" s="12" t="inlineStr">
        <is>
          <t>ASX Live 01.09.2026</t>
        </is>
      </c>
      <c r="D9" s="38" t="n">
        <v>46280</v>
      </c>
      <c r="E9" s="38" t="n">
        <v>46310</v>
      </c>
      <c r="F9" s="26" t="n">
        <v>8544.799999999999</v>
      </c>
      <c r="G9" s="27" t="inlineStr">
        <is>
          <t>Current</t>
        </is>
      </c>
      <c r="H9" s="38" t="n">
        <v>46311</v>
      </c>
      <c r="I9" s="39">
        <f>H9-E9</f>
        <v/>
      </c>
      <c r="J9" s="12">
        <f>IF(H9&lt;Assumptions!$B$5,"Before",IF(H9&gt;Assumptions!$C$37,"After",INT((H9-Assumptions!$B$5)/7)+1))</f>
        <v/>
      </c>
      <c r="K9" s="14" t="inlineStr">
        <is>
          <t>Due date + a day</t>
        </is>
      </c>
    </row>
    <row r="10">
      <c r="A10" s="12" t="inlineStr">
        <is>
          <t>Australian Payments Network</t>
        </is>
      </c>
      <c r="B10" s="12" t="inlineStr">
        <is>
          <t>INV-10574</t>
        </is>
      </c>
      <c r="C10" s="12" t="inlineStr">
        <is>
          <t>Logitech room licence renewal</t>
        </is>
      </c>
      <c r="D10" s="38" t="n">
        <v>46254</v>
      </c>
      <c r="E10" s="38" t="n">
        <v>46284</v>
      </c>
      <c r="F10" s="26" t="n">
        <v>1092.3</v>
      </c>
      <c r="G10" s="27" t="inlineStr">
        <is>
          <t>Overdue</t>
        </is>
      </c>
      <c r="H10" s="38" t="n">
        <v>46297</v>
      </c>
      <c r="I10" s="39">
        <f>H10-E10</f>
        <v/>
      </c>
      <c r="J10" s="12">
        <f>IF(H10&lt;Assumptions!$B$5,"Before",IF(H10&gt;Assumptions!$C$37,"After",INT((H10-Assumptions!$B$5)/7)+1))</f>
        <v/>
      </c>
      <c r="K10" s="14" t="inlineStr">
        <is>
          <t>Small, overdue - chase this week</t>
        </is>
      </c>
    </row>
    <row r="11">
      <c r="A11" s="12" t="inlineStr">
        <is>
          <t>Aware Super</t>
        </is>
      </c>
      <c r="B11" s="12" t="inlineStr">
        <is>
          <t>INV-10583</t>
        </is>
      </c>
      <c r="C11" s="12" t="inlineStr">
        <is>
          <t>Annual National Maintenance (Aug)</t>
        </is>
      </c>
      <c r="D11" s="38" t="n">
        <v>46265</v>
      </c>
      <c r="E11" s="38" t="n">
        <v>46295</v>
      </c>
      <c r="F11" s="26" t="n">
        <v>12100</v>
      </c>
      <c r="G11" s="27" t="inlineStr">
        <is>
          <t>Current</t>
        </is>
      </c>
      <c r="H11" s="38" t="n">
        <v>46295</v>
      </c>
      <c r="I11" s="39">
        <f>H11-E11</f>
        <v/>
      </c>
      <c r="J11" s="12">
        <f>IF(H11&lt;Assumptions!$B$5,"Before",IF(H11&gt;Assumptions!$C$37,"After",INT((H11-Assumptions!$B$5)/7)+1))</f>
        <v/>
      </c>
      <c r="K11" s="14" t="inlineStr">
        <is>
          <t>Aware pays on or near due date</t>
        </is>
      </c>
    </row>
    <row r="12">
      <c r="A12" s="12" t="inlineStr">
        <is>
          <t>Aware Super</t>
        </is>
      </c>
      <c r="B12" s="12" t="inlineStr">
        <is>
          <t>INV-10596</t>
        </is>
      </c>
      <c r="C12" s="12" t="inlineStr">
        <is>
          <t>Seminar Room AV Upgrade</t>
        </is>
      </c>
      <c r="D12" s="38" t="n">
        <v>46274</v>
      </c>
      <c r="E12" s="38" t="n">
        <v>46304</v>
      </c>
      <c r="F12" s="26" t="n">
        <v>225887.4</v>
      </c>
      <c r="G12" s="27" t="inlineStr">
        <is>
          <t>Current</t>
        </is>
      </c>
      <c r="H12" s="40" t="n">
        <v>46304</v>
      </c>
      <c r="I12" s="39">
        <f>H12-E12</f>
        <v/>
      </c>
      <c r="J12" s="12">
        <f>IF(H12&lt;Assumptions!$B$5,"Before",IF(H12&gt;Assumptions!$C$37,"After",INT((H12-Assumptions!$B$5)/7)+1))</f>
        <v/>
      </c>
      <c r="K12" s="14" t="inlineStr">
        <is>
          <t>KEY RECEIPT. Complete AV bill of $178,119 is on hold until this lands. If Aware slips, hold Complete AV.</t>
        </is>
      </c>
    </row>
    <row r="13">
      <c r="A13" s="12" t="inlineStr">
        <is>
          <t>Aware Super</t>
        </is>
      </c>
      <c r="B13" s="12" t="inlineStr">
        <is>
          <t>INV-10635</t>
        </is>
      </c>
      <c r="C13" s="12" t="inlineStr">
        <is>
          <t>Appspace licensing subscription (12 months)</t>
        </is>
      </c>
      <c r="D13" s="38" t="n">
        <v>46283</v>
      </c>
      <c r="E13" s="38" t="n">
        <v>46313</v>
      </c>
      <c r="F13" s="26" t="n">
        <v>23317.11</v>
      </c>
      <c r="G13" s="27" t="inlineStr">
        <is>
          <t>Current</t>
        </is>
      </c>
      <c r="H13" s="38" t="n">
        <v>46311</v>
      </c>
      <c r="I13" s="39">
        <f>H13-E13</f>
        <v/>
      </c>
      <c r="J13" s="12">
        <f>IF(H13&lt;Assumptions!$B$5,"Before",IF(H13&gt;Assumptions!$C$37,"After",INT((H13-Assumptions!$B$5)/7)+1))</f>
        <v/>
      </c>
      <c r="K13" s="14" t="inlineStr">
        <is>
          <t>Due Sun 18 Oct - expect Fri 16 Oct. Funds the Appspace bill ($20,985) due 24 Oct.</t>
        </is>
      </c>
    </row>
    <row r="14">
      <c r="A14" s="12" t="inlineStr">
        <is>
          <t>Aware Super</t>
        </is>
      </c>
      <c r="B14" s="12" t="inlineStr">
        <is>
          <t>INV-10646</t>
        </is>
      </c>
      <c r="C14" s="12" t="inlineStr">
        <is>
          <t>Perth office BYOD USB-C replacement</t>
        </is>
      </c>
      <c r="D14" s="38" t="n">
        <v>46289</v>
      </c>
      <c r="E14" s="38" t="n">
        <v>46319</v>
      </c>
      <c r="F14" s="26" t="n">
        <v>3252.7</v>
      </c>
      <c r="G14" s="27" t="inlineStr">
        <is>
          <t>Current</t>
        </is>
      </c>
      <c r="H14" s="38" t="n">
        <v>46318</v>
      </c>
      <c r="I14" s="39">
        <f>H14-E14</f>
        <v/>
      </c>
      <c r="J14" s="12">
        <f>IF(H14&lt;Assumptions!$B$5,"Before",IF(H14&gt;Assumptions!$C$37,"After",INT((H14-Assumptions!$B$5)/7)+1))</f>
        <v/>
      </c>
      <c r="K14" s="14" t="inlineStr">
        <is>
          <t>Due Sat 24 Oct - expect Fri 23 Oct</t>
        </is>
      </c>
    </row>
    <row r="15">
      <c r="A15" s="12" t="inlineStr">
        <is>
          <t>Aware Super</t>
        </is>
      </c>
      <c r="B15" s="12" t="inlineStr">
        <is>
          <t>INV-10619</t>
        </is>
      </c>
      <c r="C15" s="12" t="inlineStr">
        <is>
          <t>Sydney 24.16 UC Engine remediation variation</t>
        </is>
      </c>
      <c r="D15" s="38" t="n">
        <v>46290</v>
      </c>
      <c r="E15" s="38" t="n">
        <v>46320</v>
      </c>
      <c r="F15" s="26" t="n">
        <v>738.1</v>
      </c>
      <c r="G15" s="27" t="inlineStr">
        <is>
          <t>Current</t>
        </is>
      </c>
      <c r="H15" s="38" t="n">
        <v>46318</v>
      </c>
      <c r="I15" s="39">
        <f>H15-E15</f>
        <v/>
      </c>
      <c r="J15" s="12">
        <f>IF(H15&lt;Assumptions!$B$5,"Before",IF(H15&gt;Assumptions!$C$37,"After",INT((H15-Assumptions!$B$5)/7)+1))</f>
        <v/>
      </c>
      <c r="K15" s="14" t="inlineStr">
        <is>
          <t>Due Sun 25 Oct - expect Fri 23 Oct</t>
        </is>
      </c>
    </row>
    <row r="16">
      <c r="A16" s="12" t="inlineStr">
        <is>
          <t>Downer EDI</t>
        </is>
      </c>
      <c r="B16" s="12" t="inlineStr">
        <is>
          <t>INV-10587</t>
        </is>
      </c>
      <c r="C16" s="12" t="inlineStr">
        <is>
          <t>Full Year Results Briefing 20.08.2026</t>
        </is>
      </c>
      <c r="D16" s="38" t="n">
        <v>46259</v>
      </c>
      <c r="E16" s="38" t="n">
        <v>46289</v>
      </c>
      <c r="F16" s="26" t="n">
        <v>12808.69</v>
      </c>
      <c r="G16" s="27" t="inlineStr">
        <is>
          <t>Overdue</t>
        </is>
      </c>
      <c r="H16" s="38" t="n">
        <v>46297</v>
      </c>
      <c r="I16" s="39">
        <f>H16-E16</f>
        <v/>
      </c>
      <c r="J16" s="12">
        <f>IF(H16&lt;Assumptions!$B$5,"Before",IF(H16&gt;Assumptions!$C$37,"After",INT((H16-Assumptions!$B$5)/7)+1))</f>
        <v/>
      </c>
      <c r="K16" s="14" t="inlineStr">
        <is>
          <t>4 days overdue - assume paid this week</t>
        </is>
      </c>
    </row>
    <row r="17">
      <c r="A17" s="12" t="inlineStr">
        <is>
          <t>Downer EDI</t>
        </is>
      </c>
      <c r="B17" s="12" t="inlineStr">
        <is>
          <t>INV-10611</t>
        </is>
      </c>
      <c r="C17" s="12" t="inlineStr">
        <is>
          <t>Full Year Employee Briefing 25.08.2026</t>
        </is>
      </c>
      <c r="D17" s="38" t="n">
        <v>46265</v>
      </c>
      <c r="E17" s="38" t="n">
        <v>46295</v>
      </c>
      <c r="F17" s="26" t="n">
        <v>26855.13</v>
      </c>
      <c r="G17" s="27" t="inlineStr">
        <is>
          <t>Current</t>
        </is>
      </c>
      <c r="H17" s="38" t="n">
        <v>46302</v>
      </c>
      <c r="I17" s="39">
        <f>H17-E17</f>
        <v/>
      </c>
      <c r="J17" s="12">
        <f>IF(H17&lt;Assumptions!$B$5,"Before",IF(H17&gt;Assumptions!$C$37,"After",INT((H17-Assumptions!$B$5)/7)+1))</f>
        <v/>
      </c>
      <c r="K17" s="14" t="inlineStr">
        <is>
          <t>Due 30 Sep; allow a week</t>
        </is>
      </c>
    </row>
    <row r="18">
      <c r="A18" s="12" t="inlineStr">
        <is>
          <t>Generation-e Productivity Solutions</t>
        </is>
      </c>
      <c r="B18" s="12" t="inlineStr">
        <is>
          <t>INV-10532</t>
        </is>
      </c>
      <c r="C18" s="12" t="inlineStr">
        <is>
          <t>PAU26-407 (Jul)</t>
        </is>
      </c>
      <c r="D18" s="38" t="n">
        <v>46234</v>
      </c>
      <c r="E18" s="38" t="n">
        <v>46264</v>
      </c>
      <c r="F18" s="26" t="n">
        <v>13627.68</v>
      </c>
      <c r="G18" s="27" t="inlineStr">
        <is>
          <t>Overdue</t>
        </is>
      </c>
      <c r="H18" s="38" t="n">
        <v>46302</v>
      </c>
      <c r="I18" s="39">
        <f>H18-E18</f>
        <v/>
      </c>
      <c r="J18" s="12">
        <f>IF(H18&lt;Assumptions!$B$5,"Before",IF(H18&gt;Assumptions!$C$37,"After",INT((H18-Assumptions!$B$5)/7)+1))</f>
        <v/>
      </c>
      <c r="K18" s="14" t="inlineStr">
        <is>
          <t>A month overdue - chase. Assume paid week 2</t>
        </is>
      </c>
    </row>
    <row r="19">
      <c r="A19" s="12" t="inlineStr">
        <is>
          <t>Generation-e Productivity Solutions</t>
        </is>
      </c>
      <c r="B19" s="12" t="inlineStr">
        <is>
          <t>INV-10573</t>
        </is>
      </c>
      <c r="C19" s="12" t="inlineStr">
        <is>
          <t>PAU26-407 (Aug)</t>
        </is>
      </c>
      <c r="D19" s="38" t="n">
        <v>46265</v>
      </c>
      <c r="E19" s="38" t="n">
        <v>46295</v>
      </c>
      <c r="F19" s="26" t="n">
        <v>13627.68</v>
      </c>
      <c r="G19" s="27" t="inlineStr">
        <is>
          <t>Current</t>
        </is>
      </c>
      <c r="H19" s="38" t="n">
        <v>46316</v>
      </c>
      <c r="I19" s="39">
        <f>H19-E19</f>
        <v/>
      </c>
      <c r="J19" s="12">
        <f>IF(H19&lt;Assumptions!$B$5,"Before",IF(H19&gt;Assumptions!$C$37,"After",INT((H19-Assumptions!$B$5)/7)+1))</f>
        <v/>
      </c>
      <c r="K19" s="14" t="inlineStr">
        <is>
          <t>Slow payer - assume 3 weeks after due</t>
        </is>
      </c>
    </row>
    <row r="20">
      <c r="A20" s="12" t="inlineStr">
        <is>
          <t>ICC Sydney</t>
        </is>
      </c>
      <c r="B20" s="12" t="inlineStr">
        <is>
          <t>INV-10630</t>
        </is>
      </c>
      <c r="C20" s="12" t="inlineStr">
        <is>
          <t>Speaker presentation technicians - ICAS 2026</t>
        </is>
      </c>
      <c r="D20" s="38" t="n">
        <v>46281</v>
      </c>
      <c r="E20" s="38" t="n">
        <v>46311</v>
      </c>
      <c r="F20" s="26" t="n">
        <v>1040.88</v>
      </c>
      <c r="G20" s="27" t="inlineStr">
        <is>
          <t>Current</t>
        </is>
      </c>
      <c r="H20" s="38" t="n">
        <v>46311</v>
      </c>
      <c r="I20" s="39">
        <f>H20-E20</f>
        <v/>
      </c>
      <c r="J20" s="12">
        <f>IF(H20&lt;Assumptions!$B$5,"Before",IF(H20&gt;Assumptions!$C$37,"After",INT((H20-Assumptions!$B$5)/7)+1))</f>
        <v/>
      </c>
      <c r="K20" s="14" t="inlineStr">
        <is>
          <t>On due date</t>
        </is>
      </c>
    </row>
    <row r="21">
      <c r="A21" s="12" t="inlineStr">
        <is>
          <t>ICC Sydney</t>
        </is>
      </c>
      <c r="B21" s="12" t="inlineStr">
        <is>
          <t>INV-10633</t>
        </is>
      </c>
      <c r="C21" s="12" t="inlineStr">
        <is>
          <t>Speaker presentation technicians - ISE</t>
        </is>
      </c>
      <c r="D21" s="38" t="n">
        <v>46281</v>
      </c>
      <c r="E21" s="38" t="n">
        <v>46311</v>
      </c>
      <c r="F21" s="26" t="n">
        <v>5131.51</v>
      </c>
      <c r="G21" s="27" t="inlineStr">
        <is>
          <t>Current</t>
        </is>
      </c>
      <c r="H21" s="38" t="n">
        <v>46311</v>
      </c>
      <c r="I21" s="39">
        <f>H21-E21</f>
        <v/>
      </c>
      <c r="J21" s="12">
        <f>IF(H21&lt;Assumptions!$B$5,"Before",IF(H21&gt;Assumptions!$C$37,"After",INT((H21-Assumptions!$B$5)/7)+1))</f>
        <v/>
      </c>
      <c r="K21" s="14" t="inlineStr">
        <is>
          <t>On due date</t>
        </is>
      </c>
    </row>
    <row r="22">
      <c r="A22" s="12" t="inlineStr">
        <is>
          <t>Jaazaniah Salanoa (staff)</t>
        </is>
      </c>
      <c r="B22" s="12" t="inlineStr">
        <is>
          <t>INV-10621</t>
        </is>
      </c>
      <c r="C22" s="12" t="inlineStr">
        <is>
          <t>Goget hire recovery</t>
        </is>
      </c>
      <c r="D22" s="38" t="n">
        <v>46265</v>
      </c>
      <c r="E22" s="38" t="n">
        <v>46295</v>
      </c>
      <c r="F22" s="26" t="n">
        <v>66.64</v>
      </c>
      <c r="G22" s="27" t="inlineStr">
        <is>
          <t>Current</t>
        </is>
      </c>
      <c r="H22" s="38" t="n">
        <v>46301</v>
      </c>
      <c r="I22" s="39">
        <f>H22-E22</f>
        <v/>
      </c>
      <c r="J22" s="12">
        <f>IF(H22&lt;Assumptions!$B$5,"Before",IF(H22&gt;Assumptions!$C$37,"After",INT((H22-Assumptions!$B$5)/7)+1))</f>
        <v/>
      </c>
      <c r="K22" s="14" t="inlineStr">
        <is>
          <t>Staff recovery - likely via payroll</t>
        </is>
      </c>
    </row>
    <row r="23">
      <c r="A23" s="12" t="inlineStr">
        <is>
          <t>Meet Magic</t>
        </is>
      </c>
      <c r="B23" s="12" t="inlineStr">
        <is>
          <t>INV-10464</t>
        </is>
      </c>
      <c r="C23" s="12" t="inlineStr">
        <is>
          <t>Human AI Event highlight videos 29.05.2026</t>
        </is>
      </c>
      <c r="D23" s="38" t="n">
        <v>46192</v>
      </c>
      <c r="E23" s="38" t="n">
        <v>46199</v>
      </c>
      <c r="F23" s="26" t="n">
        <v>5075.07</v>
      </c>
      <c r="G23" s="27" t="inlineStr">
        <is>
          <t>Overdue 3 months</t>
        </is>
      </c>
      <c r="H23" s="38" t="n">
        <v>46356</v>
      </c>
      <c r="I23" s="39">
        <f>H23-E23</f>
        <v/>
      </c>
      <c r="J23" s="12">
        <f>IF(H23&lt;Assumptions!$B$5,"Before",IF(H23&gt;Assumptions!$C$37,"After",INT((H23-Assumptions!$B$5)/7)+1))</f>
        <v/>
      </c>
      <c r="K23" s="14" t="inlineStr">
        <is>
          <t>DOUBTFUL - 3 months overdue. Excluded from October. Needs escalation.</t>
        </is>
      </c>
    </row>
    <row r="24">
      <c r="A24" s="12" t="inlineStr">
        <is>
          <t>Microsoft</t>
        </is>
      </c>
      <c r="B24" s="12" t="inlineStr">
        <is>
          <t>INV-10554</t>
        </is>
      </c>
      <c r="C24" s="12" t="inlineStr">
        <is>
          <t>PO 10160645</t>
        </is>
      </c>
      <c r="D24" s="38" t="n">
        <v>46234</v>
      </c>
      <c r="E24" s="38" t="n">
        <v>46264</v>
      </c>
      <c r="F24" s="26" t="n">
        <v>13845.7</v>
      </c>
      <c r="G24" s="27" t="inlineStr">
        <is>
          <t>Overdue</t>
        </is>
      </c>
      <c r="H24" s="38" t="n">
        <v>46302</v>
      </c>
      <c r="I24" s="39">
        <f>H24-E24</f>
        <v/>
      </c>
      <c r="J24" s="12">
        <f>IF(H24&lt;Assumptions!$B$5,"Before",IF(H24&gt;Assumptions!$C$37,"After",INT((H24-Assumptions!$B$5)/7)+1))</f>
        <v/>
      </c>
      <c r="K24" s="14" t="inlineStr">
        <is>
          <t>A month overdue - usually a PO/portal issue. Assume week 2</t>
        </is>
      </c>
    </row>
    <row r="25">
      <c r="A25" s="12" t="inlineStr">
        <is>
          <t>ON24</t>
        </is>
      </c>
      <c r="B25" s="12" t="inlineStr">
        <is>
          <t>INV-10552</t>
        </is>
      </c>
      <c r="C25" s="12" t="inlineStr">
        <is>
          <t>PO #25962 (Jul)</t>
        </is>
      </c>
      <c r="D25" s="38" t="n">
        <v>46234</v>
      </c>
      <c r="E25" s="38" t="n">
        <v>46264</v>
      </c>
      <c r="F25" s="26" t="n">
        <v>2832.5</v>
      </c>
      <c r="G25" s="27" t="inlineStr">
        <is>
          <t>Overdue</t>
        </is>
      </c>
      <c r="H25" s="38" t="n">
        <v>46302</v>
      </c>
      <c r="I25" s="39">
        <f>H25-E25</f>
        <v/>
      </c>
      <c r="J25" s="12">
        <f>IF(H25&lt;Assumptions!$B$5,"Before",IF(H25&gt;Assumptions!$C$37,"After",INT((H25-Assumptions!$B$5)/7)+1))</f>
        <v/>
      </c>
      <c r="K25" s="14" t="inlineStr">
        <is>
          <t>A month overdue - chase</t>
        </is>
      </c>
    </row>
    <row r="26">
      <c r="A26" s="12" t="inlineStr">
        <is>
          <t>ON24</t>
        </is>
      </c>
      <c r="B26" s="12" t="inlineStr">
        <is>
          <t>INV-10589</t>
        </is>
      </c>
      <c r="C26" s="12" t="inlineStr">
        <is>
          <t>PO25962 (Aug)</t>
        </is>
      </c>
      <c r="D26" s="38" t="n">
        <v>46260</v>
      </c>
      <c r="E26" s="38" t="n">
        <v>46290</v>
      </c>
      <c r="F26" s="26" t="n">
        <v>3005.75</v>
      </c>
      <c r="G26" s="27" t="inlineStr">
        <is>
          <t>Overdue</t>
        </is>
      </c>
      <c r="H26" s="38" t="n">
        <v>46302</v>
      </c>
      <c r="I26" s="39">
        <f>H26-E26</f>
        <v/>
      </c>
      <c r="J26" s="12">
        <f>IF(H26&lt;Assumptions!$B$5,"Before",IF(H26&gt;Assumptions!$C$37,"After",INT((H26-Assumptions!$B$5)/7)+1))</f>
        <v/>
      </c>
      <c r="K26" s="14" t="inlineStr">
        <is>
          <t>Assume paid with the July one</t>
        </is>
      </c>
    </row>
    <row r="27">
      <c r="A27" s="12" t="inlineStr">
        <is>
          <t>Property NSW</t>
        </is>
      </c>
      <c r="B27" s="12" t="inlineStr">
        <is>
          <t>INV-10396</t>
        </is>
      </c>
      <c r="C27" s="12" t="inlineStr">
        <is>
          <t>Penrith BDA Condeco desk booking (PO20285637)</t>
        </is>
      </c>
      <c r="D27" s="38" t="n">
        <v>46148</v>
      </c>
      <c r="E27" s="38" t="n">
        <v>46178</v>
      </c>
      <c r="F27" s="26" t="n">
        <v>19733.45</v>
      </c>
      <c r="G27" s="27" t="inlineStr">
        <is>
          <t>Overdue 3 months</t>
        </is>
      </c>
      <c r="H27" s="38" t="n">
        <v>46356</v>
      </c>
      <c r="I27" s="39">
        <f>H27-E27</f>
        <v/>
      </c>
      <c r="J27" s="12">
        <f>IF(H27&lt;Assumptions!$B$5,"Before",IF(H27&gt;Assumptions!$C$37,"After",INT((H27-Assumptions!$B$5)/7)+1))</f>
        <v/>
      </c>
      <c r="K27" s="14" t="inlineStr">
        <is>
          <t>DOUBTFUL - almost 4 months overdue. Excluded from October. Needs escalation.</t>
        </is>
      </c>
    </row>
    <row r="28">
      <c r="A28" s="12" t="inlineStr">
        <is>
          <t>PwC Services</t>
        </is>
      </c>
      <c r="B28" s="12" t="inlineStr">
        <is>
          <t>INV-10535</t>
        </is>
      </c>
      <c r="C28" s="12" t="inlineStr">
        <is>
          <t>PO2601702104 (Jul)</t>
        </is>
      </c>
      <c r="D28" s="38" t="n">
        <v>46234</v>
      </c>
      <c r="E28" s="38" t="n">
        <v>46264</v>
      </c>
      <c r="F28" s="26" t="n">
        <v>13097.7</v>
      </c>
      <c r="G28" s="27" t="inlineStr">
        <is>
          <t>Overdue</t>
        </is>
      </c>
      <c r="H28" s="38" t="n">
        <v>46302</v>
      </c>
      <c r="I28" s="39">
        <f>H28-E28</f>
        <v/>
      </c>
      <c r="J28" s="12">
        <f>IF(H28&lt;Assumptions!$B$5,"Before",IF(H28&gt;Assumptions!$C$37,"After",INT((H28-Assumptions!$B$5)/7)+1))</f>
        <v/>
      </c>
      <c r="K28" s="14" t="inlineStr">
        <is>
          <t>A month overdue. PwC paid INV-10577 on its due date, so these two look like PO problems - chase</t>
        </is>
      </c>
    </row>
    <row r="29">
      <c r="A29" s="12" t="inlineStr">
        <is>
          <t>PwC Services</t>
        </is>
      </c>
      <c r="B29" s="12" t="inlineStr">
        <is>
          <t>INV-10531</t>
        </is>
      </c>
      <c r="C29" s="12" t="inlineStr">
        <is>
          <t>PO2601702371 (Jul)</t>
        </is>
      </c>
      <c r="D29" s="38" t="n">
        <v>46234</v>
      </c>
      <c r="E29" s="38" t="n">
        <v>46264</v>
      </c>
      <c r="F29" s="26" t="n">
        <v>7865</v>
      </c>
      <c r="G29" s="27" t="inlineStr">
        <is>
          <t>Overdue</t>
        </is>
      </c>
      <c r="H29" s="38" t="n">
        <v>46302</v>
      </c>
      <c r="I29" s="39">
        <f>H29-E29</f>
        <v/>
      </c>
      <c r="J29" s="12">
        <f>IF(H29&lt;Assumptions!$B$5,"Before",IF(H29&gt;Assumptions!$C$37,"After",INT((H29-Assumptions!$B$5)/7)+1))</f>
        <v/>
      </c>
      <c r="K29" s="14" t="inlineStr">
        <is>
          <t>As above</t>
        </is>
      </c>
    </row>
    <row r="30">
      <c r="A30" s="12" t="inlineStr">
        <is>
          <t>PwC Services</t>
        </is>
      </c>
      <c r="B30" s="12" t="inlineStr">
        <is>
          <t>INV-10598</t>
        </is>
      </c>
      <c r="C30" s="12" t="inlineStr">
        <is>
          <t>PO2601703509</t>
        </is>
      </c>
      <c r="D30" s="38" t="n">
        <v>46265</v>
      </c>
      <c r="E30" s="38" t="n">
        <v>46295</v>
      </c>
      <c r="F30" s="26" t="n">
        <v>9350</v>
      </c>
      <c r="G30" s="27" t="inlineStr">
        <is>
          <t>Current</t>
        </is>
      </c>
      <c r="H30" s="38" t="n">
        <v>46309</v>
      </c>
      <c r="I30" s="39">
        <f>H30-E30</f>
        <v/>
      </c>
      <c r="J30" s="12">
        <f>IF(H30&lt;Assumptions!$B$5,"Before",IF(H30&gt;Assumptions!$C$37,"After",INT((H30-Assumptions!$B$5)/7)+1))</f>
        <v/>
      </c>
      <c r="K30" s="14" t="inlineStr">
        <is>
          <t>Allow two weeks after due</t>
        </is>
      </c>
    </row>
    <row r="31">
      <c r="A31" s="12" t="inlineStr">
        <is>
          <t>PwC Services</t>
        </is>
      </c>
      <c r="B31" s="12" t="inlineStr">
        <is>
          <t>INV-10572</t>
        </is>
      </c>
      <c r="C31" s="12" t="inlineStr">
        <is>
          <t>PO2601702371 (Aug)</t>
        </is>
      </c>
      <c r="D31" s="38" t="n">
        <v>46265</v>
      </c>
      <c r="E31" s="38" t="n">
        <v>46295</v>
      </c>
      <c r="F31" s="26" t="n">
        <v>7865</v>
      </c>
      <c r="G31" s="27" t="inlineStr">
        <is>
          <t>Current</t>
        </is>
      </c>
      <c r="H31" s="38" t="n">
        <v>46309</v>
      </c>
      <c r="I31" s="39">
        <f>H31-E31</f>
        <v/>
      </c>
      <c r="J31" s="12">
        <f>IF(H31&lt;Assumptions!$B$5,"Before",IF(H31&gt;Assumptions!$C$37,"After",INT((H31-Assumptions!$B$5)/7)+1))</f>
        <v/>
      </c>
      <c r="K31" s="14" t="inlineStr">
        <is>
          <t>Allow two weeks after due</t>
        </is>
      </c>
    </row>
    <row r="32">
      <c r="A32" s="12" t="inlineStr">
        <is>
          <t>PwC Services</t>
        </is>
      </c>
      <c r="B32" s="12" t="inlineStr">
        <is>
          <t>INV-10585</t>
        </is>
      </c>
      <c r="C32" s="12" t="inlineStr">
        <is>
          <t>PO2601702104 (Aug)</t>
        </is>
      </c>
      <c r="D32" s="38" t="n">
        <v>46265</v>
      </c>
      <c r="E32" s="38" t="n">
        <v>46295</v>
      </c>
      <c r="F32" s="26" t="n">
        <v>13097.7</v>
      </c>
      <c r="G32" s="27" t="inlineStr">
        <is>
          <t>Current</t>
        </is>
      </c>
      <c r="H32" s="38" t="n">
        <v>46309</v>
      </c>
      <c r="I32" s="39">
        <f>H32-E32</f>
        <v/>
      </c>
      <c r="J32" s="12">
        <f>IF(H32&lt;Assumptions!$B$5,"Before",IF(H32&gt;Assumptions!$C$37,"After",INT((H32-Assumptions!$B$5)/7)+1))</f>
        <v/>
      </c>
      <c r="K32" s="14" t="inlineStr">
        <is>
          <t>Allow two weeks after due</t>
        </is>
      </c>
    </row>
    <row r="33">
      <c r="A33" s="12" t="inlineStr">
        <is>
          <t>Ricoh Australia</t>
        </is>
      </c>
      <c r="B33" s="12" t="inlineStr">
        <is>
          <t>INV-10618</t>
        </is>
      </c>
      <c r="C33" s="12" t="inlineStr">
        <is>
          <t>CONTRACT (Aug)</t>
        </is>
      </c>
      <c r="D33" s="38" t="n">
        <v>46265</v>
      </c>
      <c r="E33" s="38" t="n">
        <v>46295</v>
      </c>
      <c r="F33" s="26" t="n">
        <v>13046.62</v>
      </c>
      <c r="G33" s="27" t="inlineStr">
        <is>
          <t>Current</t>
        </is>
      </c>
      <c r="H33" s="38" t="n">
        <v>46302</v>
      </c>
      <c r="I33" s="39">
        <f>H33-E33</f>
        <v/>
      </c>
      <c r="J33" s="12">
        <f>IF(H33&lt;Assumptions!$B$5,"Before",IF(H33&gt;Assumptions!$C$37,"After",INT((H33-Assumptions!$B$5)/7)+1))</f>
        <v/>
      </c>
      <c r="K33" s="14" t="inlineStr">
        <is>
          <t>Allow a week</t>
        </is>
      </c>
    </row>
    <row r="34">
      <c r="A34" s="12" t="inlineStr">
        <is>
          <t>Ricoh Australia</t>
        </is>
      </c>
      <c r="B34" s="12" t="inlineStr">
        <is>
          <t>INV-10620</t>
        </is>
      </c>
      <c r="C34" s="12" t="inlineStr">
        <is>
          <t>SHELL AV Support</t>
        </is>
      </c>
      <c r="D34" s="38" t="n">
        <v>46268</v>
      </c>
      <c r="E34" s="38" t="n">
        <v>46298</v>
      </c>
      <c r="F34" s="26" t="n">
        <v>374</v>
      </c>
      <c r="G34" s="27" t="inlineStr">
        <is>
          <t>Current</t>
        </is>
      </c>
      <c r="H34" s="38" t="n">
        <v>46302</v>
      </c>
      <c r="I34" s="39">
        <f>H34-E34</f>
        <v/>
      </c>
      <c r="J34" s="12">
        <f>IF(H34&lt;Assumptions!$B$5,"Before",IF(H34&gt;Assumptions!$C$37,"After",INT((H34-Assumptions!$B$5)/7)+1))</f>
        <v/>
      </c>
      <c r="K34" s="14" t="inlineStr">
        <is>
          <t>Allow a week</t>
        </is>
      </c>
    </row>
    <row r="35">
      <c r="A35" s="12" t="inlineStr">
        <is>
          <t>The CEO Institute</t>
        </is>
      </c>
      <c r="B35" s="12" t="inlineStr">
        <is>
          <t>INV-10581</t>
        </is>
      </c>
      <c r="C35" s="12" t="inlineStr">
        <is>
          <t>CEO Connect 2026 11.8.26</t>
        </is>
      </c>
      <c r="D35" s="38" t="n">
        <v>46255</v>
      </c>
      <c r="E35" s="38" t="n">
        <v>46285</v>
      </c>
      <c r="F35" s="26" t="n">
        <v>9086.389999999999</v>
      </c>
      <c r="G35" s="27" t="inlineStr">
        <is>
          <t>Overdue</t>
        </is>
      </c>
      <c r="H35" s="38" t="n">
        <v>46297</v>
      </c>
      <c r="I35" s="39">
        <f>H35-E35</f>
        <v/>
      </c>
      <c r="J35" s="12">
        <f>IF(H35&lt;Assumptions!$B$5,"Before",IF(H35&gt;Assumptions!$C$37,"After",INT((H35-Assumptions!$B$5)/7)+1))</f>
        <v/>
      </c>
      <c r="K35" s="14" t="inlineStr">
        <is>
          <t>8 days overdue - assume this week</t>
        </is>
      </c>
    </row>
    <row r="36">
      <c r="A36" s="12" t="inlineStr">
        <is>
          <t>Vega Global Australia</t>
        </is>
      </c>
      <c r="B36" s="12" t="inlineStr">
        <is>
          <t>INV-10647</t>
        </is>
      </c>
      <c r="C36" s="12" t="inlineStr">
        <is>
          <t>Payments &amp; Securities Forums 14-17.9.26</t>
        </is>
      </c>
      <c r="D36" s="38" t="n">
        <v>46287</v>
      </c>
      <c r="E36" s="38" t="n">
        <v>46317</v>
      </c>
      <c r="F36" s="26" t="n">
        <v>1969</v>
      </c>
      <c r="G36" s="27" t="inlineStr">
        <is>
          <t>Current</t>
        </is>
      </c>
      <c r="H36" s="38" t="n">
        <v>46317</v>
      </c>
      <c r="I36" s="39">
        <f>H36-E36</f>
        <v/>
      </c>
      <c r="J36" s="12">
        <f>IF(H36&lt;Assumptions!$B$5,"Before",IF(H36&gt;Assumptions!$C$37,"After",INT((H36-Assumptions!$B$5)/7)+1))</f>
        <v/>
      </c>
      <c r="K36" s="14" t="inlineStr">
        <is>
          <t>On due date</t>
        </is>
      </c>
    </row>
    <row r="37">
      <c r="A37" s="12" t="inlineStr">
        <is>
          <t>Ventia</t>
        </is>
      </c>
      <c r="B37" s="12" t="inlineStr">
        <is>
          <t>INV-10557</t>
        </is>
      </c>
      <c r="C37" s="12" t="inlineStr">
        <is>
          <t>Ventia Awards 29-30.7.2026 (PO4701355678)</t>
        </is>
      </c>
      <c r="D37" s="38" t="n">
        <v>46234</v>
      </c>
      <c r="E37" s="38" t="n">
        <v>46264</v>
      </c>
      <c r="F37" s="26" t="n">
        <v>58024.76</v>
      </c>
      <c r="G37" s="27" t="inlineStr">
        <is>
          <t>Overdue</t>
        </is>
      </c>
      <c r="H37" s="40" t="n">
        <v>46304</v>
      </c>
      <c r="I37" s="39">
        <f>H37-E37</f>
        <v/>
      </c>
      <c r="J37" s="12">
        <f>IF(H37&lt;Assumptions!$B$5,"Before",IF(H37&gt;Assumptions!$C$37,"After",INT((H37-Assumptions!$B$5)/7)+1))</f>
        <v/>
      </c>
      <c r="K37" s="14" t="inlineStr">
        <is>
          <t>LARGEST OVERDUE - a month late. Chase now; assume week 2</t>
        </is>
      </c>
    </row>
    <row r="38">
      <c r="A38" s="12" t="inlineStr">
        <is>
          <t>Ventia</t>
        </is>
      </c>
      <c r="B38" s="12" t="inlineStr">
        <is>
          <t>INV-10612</t>
        </is>
      </c>
      <c r="C38" s="12" t="inlineStr">
        <is>
          <t>Half Year Results Briefing 24.08.2026</t>
        </is>
      </c>
      <c r="D38" s="38" t="n">
        <v>46265</v>
      </c>
      <c r="E38" s="38" t="n">
        <v>46295</v>
      </c>
      <c r="F38" s="26" t="n">
        <v>11919.04</v>
      </c>
      <c r="G38" s="27" t="inlineStr">
        <is>
          <t>Current</t>
        </is>
      </c>
      <c r="H38" s="38" t="n">
        <v>46316</v>
      </c>
      <c r="I38" s="39">
        <f>H38-E38</f>
        <v/>
      </c>
      <c r="J38" s="12">
        <f>IF(H38&lt;Assumptions!$B$5,"Before",IF(H38&gt;Assumptions!$C$37,"After",INT((H38-Assumptions!$B$5)/7)+1))</f>
        <v/>
      </c>
      <c r="K38" s="14" t="inlineStr">
        <is>
          <t>Ventia is paying ~3 weeks late</t>
        </is>
      </c>
    </row>
    <row r="39">
      <c r="A39" s="12" t="inlineStr">
        <is>
          <t>Ventia</t>
        </is>
      </c>
      <c r="B39" s="12" t="inlineStr">
        <is>
          <t>INV-10593</t>
        </is>
      </c>
      <c r="C39" s="12" t="inlineStr">
        <is>
          <t>Employee HYR Town Hall 24.08.2026</t>
        </is>
      </c>
      <c r="D39" s="38" t="n">
        <v>46265</v>
      </c>
      <c r="E39" s="38" t="n">
        <v>46295</v>
      </c>
      <c r="F39" s="26" t="n">
        <v>14741.65</v>
      </c>
      <c r="G39" s="27" t="inlineStr">
        <is>
          <t>Current</t>
        </is>
      </c>
      <c r="H39" s="38" t="n">
        <v>46316</v>
      </c>
      <c r="I39" s="39">
        <f>H39-E39</f>
        <v/>
      </c>
      <c r="J39" s="12">
        <f>IF(H39&lt;Assumptions!$B$5,"Before",IF(H39&gt;Assumptions!$C$37,"After",INT((H39-Assumptions!$B$5)/7)+1))</f>
        <v/>
      </c>
      <c r="K39" s="14" t="inlineStr">
        <is>
          <t>Ventia is paying ~3 weeks late</t>
        </is>
      </c>
    </row>
    <row r="40">
      <c r="A40" s="12" t="inlineStr">
        <is>
          <t>Ventia</t>
        </is>
      </c>
      <c r="B40" s="12" t="inlineStr">
        <is>
          <t>INV-10632</t>
        </is>
      </c>
      <c r="C40" s="12" t="inlineStr">
        <is>
          <t>RUOK? Day Event 10.09.2026</t>
        </is>
      </c>
      <c r="D40" s="38" t="n">
        <v>46281</v>
      </c>
      <c r="E40" s="38" t="n">
        <v>46311</v>
      </c>
      <c r="F40" s="26" t="n">
        <v>10015.89</v>
      </c>
      <c r="G40" s="27" t="inlineStr">
        <is>
          <t>Current</t>
        </is>
      </c>
      <c r="H40" s="38" t="n">
        <v>46325</v>
      </c>
      <c r="I40" s="39">
        <f>H40-E40</f>
        <v/>
      </c>
      <c r="J40" s="12">
        <f>IF(H40&lt;Assumptions!$B$5,"Before",IF(H40&gt;Assumptions!$C$37,"After",INT((H40-Assumptions!$B$5)/7)+1))</f>
        <v/>
      </c>
      <c r="K40" s="14" t="inlineStr">
        <is>
          <t>Two weeks after due</t>
        </is>
      </c>
    </row>
    <row r="41">
      <c r="A41" s="12" t="inlineStr">
        <is>
          <t>YSG Studio</t>
        </is>
      </c>
      <c r="B41" s="12" t="inlineStr">
        <is>
          <t>INV-10601</t>
        </is>
      </c>
      <c r="C41" s="12" t="inlineStr">
        <is>
          <t>Orange Room AV upgrade - labour</t>
        </is>
      </c>
      <c r="D41" s="38" t="n">
        <v>46261</v>
      </c>
      <c r="E41" s="38" t="n">
        <v>46291</v>
      </c>
      <c r="F41" s="26" t="n">
        <v>4908.2</v>
      </c>
      <c r="G41" s="27" t="inlineStr">
        <is>
          <t>Overdue</t>
        </is>
      </c>
      <c r="H41" s="38" t="n">
        <v>46297</v>
      </c>
      <c r="I41" s="39">
        <f>H41-E41</f>
        <v/>
      </c>
      <c r="J41" s="12">
        <f>IF(H41&lt;Assumptions!$B$5,"Before",IF(H41&gt;Assumptions!$C$37,"After",INT((H41-Assumptions!$B$5)/7)+1))</f>
        <v/>
      </c>
      <c r="K41" s="14" t="inlineStr">
        <is>
          <t>2 days overdue - assume this week</t>
        </is>
      </c>
    </row>
    <row r="42">
      <c r="A42" s="12" t="inlineStr">
        <is>
          <t>YSG Studio</t>
        </is>
      </c>
      <c r="B42" s="12" t="inlineStr">
        <is>
          <t>INV-10653</t>
        </is>
      </c>
      <c r="C42" s="12" t="inlineStr">
        <is>
          <t>YSG Studio Phase 4</t>
        </is>
      </c>
      <c r="D42" s="38" t="n">
        <v>46290</v>
      </c>
      <c r="E42" s="38" t="n">
        <v>46320</v>
      </c>
      <c r="F42" s="26" t="n">
        <v>1116.5</v>
      </c>
      <c r="G42" s="27" t="inlineStr">
        <is>
          <t>Current</t>
        </is>
      </c>
      <c r="H42" s="38" t="n">
        <v>46325</v>
      </c>
      <c r="I42" s="39">
        <f>H42-E42</f>
        <v/>
      </c>
      <c r="J42" s="12">
        <f>IF(H42&lt;Assumptions!$B$5,"Before",IF(H42&gt;Assumptions!$C$37,"After",INT((H42-Assumptions!$B$5)/7)+1))</f>
        <v/>
      </c>
      <c r="K42" s="14" t="inlineStr">
        <is>
          <t>Allow a few days after due</t>
        </is>
      </c>
    </row>
    <row r="43">
      <c r="A43" s="12" t="inlineStr">
        <is>
          <t>Deloitte Services Trust</t>
        </is>
      </c>
      <c r="B43" s="12" t="inlineStr">
        <is>
          <t>TBR</t>
        </is>
      </c>
      <c r="C43" s="12" t="inlineStr">
        <is>
          <t>CONTRACT - September technicians</t>
        </is>
      </c>
      <c r="D43" s="38" t="n">
        <v>46295</v>
      </c>
      <c r="E43" s="38" t="n">
        <v>46325</v>
      </c>
      <c r="F43" s="26" t="n">
        <v>113987.99</v>
      </c>
      <c r="G43" s="27" t="inlineStr">
        <is>
          <t>To be raised</t>
        </is>
      </c>
      <c r="H43" s="40" t="n">
        <v>46309</v>
      </c>
      <c r="I43" s="39">
        <f>H43-E43</f>
        <v/>
      </c>
      <c r="J43" s="12">
        <f>IF(H43&lt;Assumptions!$B$5,"Before",IF(H43&gt;Assumptions!$C$37,"After",INT((H43-Assumptions!$B$5)/7)+1))</f>
        <v/>
      </c>
      <c r="K43" s="14" t="inlineStr">
        <is>
          <t>Aug invoice (31 Aug) was paid 14 Sep - Deloitte pays ~2 weeks after issue. Template: repeating invoice 'CONTRACT' $113,987.99/month</t>
        </is>
      </c>
    </row>
    <row r="44">
      <c r="A44" s="12" t="inlineStr">
        <is>
          <t>Commonwealth Bank (CBA Place South)</t>
        </is>
      </c>
      <c r="B44" s="12" t="inlineStr">
        <is>
          <t>TBR</t>
        </is>
      </c>
      <c r="C44" s="12" t="inlineStr">
        <is>
          <t>85720001CBPSCSJUN27 - September</t>
        </is>
      </c>
      <c r="D44" s="38" t="n">
        <v>46295</v>
      </c>
      <c r="E44" s="38" t="n">
        <v>46325</v>
      </c>
      <c r="F44" s="26" t="n">
        <v>24978.8</v>
      </c>
      <c r="G44" s="27" t="inlineStr">
        <is>
          <t>To be raised</t>
        </is>
      </c>
      <c r="H44" s="38" t="n">
        <v>46303</v>
      </c>
      <c r="I44" s="39">
        <f>H44-E44</f>
        <v/>
      </c>
      <c r="J44" s="12">
        <f>IF(H44&lt;Assumptions!$B$5,"Before",IF(H44&gt;Assumptions!$C$37,"After",INT((H44-Assumptions!$B$5)/7)+1))</f>
        <v/>
      </c>
      <c r="K44" s="14" t="inlineStr">
        <is>
          <t>Aug invoices (31 Aug) paid 8 Sep - CBA pays ~8 days after issue</t>
        </is>
      </c>
    </row>
    <row r="45">
      <c r="A45" s="12" t="inlineStr">
        <is>
          <t>Commonwealth Bank (CBA Square)</t>
        </is>
      </c>
      <c r="B45" s="12" t="inlineStr">
        <is>
          <t>TBR</t>
        </is>
      </c>
      <c r="C45" s="12" t="inlineStr">
        <is>
          <t>85720001CBSCSJUN27 - September</t>
        </is>
      </c>
      <c r="D45" s="38" t="n">
        <v>46295</v>
      </c>
      <c r="E45" s="38" t="n">
        <v>46325</v>
      </c>
      <c r="F45" s="26" t="n">
        <v>11792</v>
      </c>
      <c r="G45" s="27" t="inlineStr">
        <is>
          <t>To be raised</t>
        </is>
      </c>
      <c r="H45" s="38" t="n">
        <v>46303</v>
      </c>
      <c r="I45" s="39">
        <f>H45-E45</f>
        <v/>
      </c>
      <c r="J45" s="12">
        <f>IF(H45&lt;Assumptions!$B$5,"Before",IF(H45&gt;Assumptions!$C$37,"After",INT((H45-Assumptions!$B$5)/7)+1))</f>
        <v/>
      </c>
      <c r="K45" s="14" t="inlineStr">
        <is>
          <t>As above</t>
        </is>
      </c>
    </row>
    <row r="46">
      <c r="A46" s="12" t="inlineStr">
        <is>
          <t>Commonwealth Bank (CBA Melbourne)</t>
        </is>
      </c>
      <c r="B46" s="12" t="inlineStr">
        <is>
          <t>TBR</t>
        </is>
      </c>
      <c r="C46" s="12" t="inlineStr">
        <is>
          <t>85720001MEL435CSJUN27 - September</t>
        </is>
      </c>
      <c r="D46" s="38" t="n">
        <v>46295</v>
      </c>
      <c r="E46" s="38" t="n">
        <v>46325</v>
      </c>
      <c r="F46" s="26" t="n">
        <v>13156</v>
      </c>
      <c r="G46" s="27" t="inlineStr">
        <is>
          <t>To be raised</t>
        </is>
      </c>
      <c r="H46" s="38" t="n">
        <v>46303</v>
      </c>
      <c r="I46" s="39">
        <f>H46-E46</f>
        <v/>
      </c>
      <c r="J46" s="12">
        <f>IF(H46&lt;Assumptions!$B$5,"Before",IF(H46&gt;Assumptions!$C$37,"After",INT((H46-Assumptions!$B$5)/7)+1))</f>
        <v/>
      </c>
      <c r="K46" s="14" t="inlineStr">
        <is>
          <t>As above</t>
        </is>
      </c>
    </row>
    <row r="47">
      <c r="A47" s="12" t="inlineStr">
        <is>
          <t>Commonwealth Bank (CBA Brisbane)</t>
        </is>
      </c>
      <c r="B47" s="12" t="inlineStr">
        <is>
          <t>TBR</t>
        </is>
      </c>
      <c r="C47" s="12" t="inlineStr">
        <is>
          <t>85720001BRISCSJUN27 - September</t>
        </is>
      </c>
      <c r="D47" s="38" t="n">
        <v>46295</v>
      </c>
      <c r="E47" s="38" t="n">
        <v>46325</v>
      </c>
      <c r="F47" s="26" t="n">
        <v>6534</v>
      </c>
      <c r="G47" s="27" t="inlineStr">
        <is>
          <t>To be raised</t>
        </is>
      </c>
      <c r="H47" s="38" t="n">
        <v>46303</v>
      </c>
      <c r="I47" s="39">
        <f>H47-E47</f>
        <v/>
      </c>
      <c r="J47" s="12">
        <f>IF(H47&lt;Assumptions!$B$5,"Before",IF(H47&gt;Assumptions!$C$37,"After",INT((H47-Assumptions!$B$5)/7)+1))</f>
        <v/>
      </c>
      <c r="K47" s="14" t="inlineStr">
        <is>
          <t>As above</t>
        </is>
      </c>
    </row>
    <row r="48">
      <c r="A48" s="12" t="inlineStr">
        <is>
          <t>Bankwest</t>
        </is>
      </c>
      <c r="B48" s="12" t="inlineStr">
        <is>
          <t>TBR</t>
        </is>
      </c>
      <c r="C48" s="12" t="inlineStr">
        <is>
          <t>85720001BWPCSJUN27 - September</t>
        </is>
      </c>
      <c r="D48" s="38" t="n">
        <v>46295</v>
      </c>
      <c r="E48" s="38" t="n">
        <v>46325</v>
      </c>
      <c r="F48" s="26" t="n">
        <v>21210.75</v>
      </c>
      <c r="G48" s="27" t="inlineStr">
        <is>
          <t>To be raised</t>
        </is>
      </c>
      <c r="H48" s="38" t="n">
        <v>46300</v>
      </c>
      <c r="I48" s="39">
        <f>H48-E48</f>
        <v/>
      </c>
      <c r="J48" s="12">
        <f>IF(H48&lt;Assumptions!$B$5,"Before",IF(H48&gt;Assumptions!$C$37,"After",INT((H48-Assumptions!$B$5)/7)+1))</f>
        <v/>
      </c>
      <c r="K48" s="14" t="inlineStr">
        <is>
          <t>Aug invoice (31 Aug) paid 3 Sep - Bankwest pays within days</t>
        </is>
      </c>
    </row>
    <row r="49">
      <c r="A49" s="12" t="inlineStr">
        <is>
          <t>Bankwest</t>
        </is>
      </c>
      <c r="B49" s="12" t="inlineStr">
        <is>
          <t>TBR</t>
        </is>
      </c>
      <c r="C49" s="12" t="inlineStr">
        <is>
          <t>85720001BWPCSJUN27 Additionals - September</t>
        </is>
      </c>
      <c r="D49" s="38" t="n">
        <v>46295</v>
      </c>
      <c r="E49" s="38" t="n">
        <v>46325</v>
      </c>
      <c r="F49" s="26" t="n">
        <v>1490.5</v>
      </c>
      <c r="G49" s="27" t="inlineStr">
        <is>
          <t>To be raised</t>
        </is>
      </c>
      <c r="H49" s="38" t="n">
        <v>46300</v>
      </c>
      <c r="I49" s="39">
        <f>H49-E49</f>
        <v/>
      </c>
      <c r="J49" s="12">
        <f>IF(H49&lt;Assumptions!$B$5,"Before",IF(H49&gt;Assumptions!$C$37,"After",INT((H49-Assumptions!$B$5)/7)+1))</f>
        <v/>
      </c>
      <c r="K49" s="14" t="inlineStr">
        <is>
          <t>As above (template amount; actual varies)</t>
        </is>
      </c>
    </row>
    <row r="50">
      <c r="A50" s="12" t="inlineStr">
        <is>
          <t>PwC Services</t>
        </is>
      </c>
      <c r="B50" s="12" t="inlineStr">
        <is>
          <t>TBR</t>
        </is>
      </c>
      <c r="C50" s="12" t="inlineStr">
        <is>
          <t>PO2601702104 - Sydney AV support September</t>
        </is>
      </c>
      <c r="D50" s="38" t="n">
        <v>46295</v>
      </c>
      <c r="E50" s="38" t="n">
        <v>46325</v>
      </c>
      <c r="F50" s="26" t="n">
        <v>13097.7</v>
      </c>
      <c r="G50" s="27" t="inlineStr">
        <is>
          <t>To be raised</t>
        </is>
      </c>
      <c r="H50" s="38" t="n">
        <v>46340</v>
      </c>
      <c r="I50" s="39">
        <f>H50-E50</f>
        <v/>
      </c>
      <c r="J50" s="12">
        <f>IF(H50&lt;Assumptions!$B$5,"Before",IF(H50&gt;Assumptions!$C$37,"After",INT((H50-Assumptions!$B$5)/7)+1))</f>
        <v/>
      </c>
      <c r="K50" s="14" t="inlineStr">
        <is>
          <t>PwC's Jul contract invoices are still unpaid - assume November</t>
        </is>
      </c>
    </row>
    <row r="51">
      <c r="A51" s="12" t="inlineStr">
        <is>
          <t>PwC Services</t>
        </is>
      </c>
      <c r="B51" s="12" t="inlineStr">
        <is>
          <t>TBR</t>
        </is>
      </c>
      <c r="C51" s="12" t="inlineStr">
        <is>
          <t>PO2601702371 - Brisbane AV support September</t>
        </is>
      </c>
      <c r="D51" s="38" t="n">
        <v>46295</v>
      </c>
      <c r="E51" s="38" t="n">
        <v>46325</v>
      </c>
      <c r="F51" s="26" t="n">
        <v>7865</v>
      </c>
      <c r="G51" s="27" t="inlineStr">
        <is>
          <t>To be raised</t>
        </is>
      </c>
      <c r="H51" s="38" t="n">
        <v>46340</v>
      </c>
      <c r="I51" s="39">
        <f>H51-E51</f>
        <v/>
      </c>
      <c r="J51" s="12">
        <f>IF(H51&lt;Assumptions!$B$5,"Before",IF(H51&gt;Assumptions!$C$37,"After",INT((H51-Assumptions!$B$5)/7)+1))</f>
        <v/>
      </c>
      <c r="K51" s="14" t="inlineStr">
        <is>
          <t>As above</t>
        </is>
      </c>
    </row>
    <row r="52">
      <c r="A52" s="12" t="inlineStr">
        <is>
          <t>Aware Super</t>
        </is>
      </c>
      <c r="B52" s="12" t="inlineStr">
        <is>
          <t>TBR</t>
        </is>
      </c>
      <c r="C52" s="12" t="inlineStr">
        <is>
          <t>Annual National Maintenance - September</t>
        </is>
      </c>
      <c r="D52" s="38" t="n">
        <v>46295</v>
      </c>
      <c r="E52" s="38" t="n">
        <v>46325</v>
      </c>
      <c r="F52" s="26" t="n">
        <v>12100</v>
      </c>
      <c r="G52" s="27" t="inlineStr">
        <is>
          <t>To be raised</t>
        </is>
      </c>
      <c r="H52" s="38" t="n">
        <v>46325</v>
      </c>
      <c r="I52" s="39">
        <f>H52-E52</f>
        <v/>
      </c>
      <c r="J52" s="12">
        <f>IF(H52&lt;Assumptions!$B$5,"Before",IF(H52&gt;Assumptions!$C$37,"After",INT((H52-Assumptions!$B$5)/7)+1))</f>
        <v/>
      </c>
      <c r="K52" s="14" t="inlineStr">
        <is>
          <t>Aware pays on due date</t>
        </is>
      </c>
    </row>
    <row r="53">
      <c r="A53" s="15" t="inlineStr">
        <is>
          <t>TOTAL</t>
        </is>
      </c>
      <c r="F53" s="41">
        <f>SUM(F5:F52)</f>
        <v/>
      </c>
    </row>
    <row r="54">
      <c r="A54" s="2" t="inlineStr">
        <is>
          <t>of which open in Xero at 28 Sep (should equal $580,292.39)</t>
        </is>
      </c>
      <c r="F54" s="42">
        <f>SUMIFS(F5:F52,G5:G52,"&lt;&gt;To be raised")</f>
        <v/>
      </c>
    </row>
    <row r="55">
      <c r="A55" s="2" t="inlineStr">
        <is>
          <t>of which expected inside the forecast window</t>
        </is>
      </c>
      <c r="F55" s="42">
        <f>SUMIFS(F5:F52,H5:H52,"&gt;="&amp;Assumptions!$B$5,H5:H52,"&lt;="&amp;Assumptions!$C$37)</f>
        <v/>
      </c>
    </row>
    <row r="56">
      <c r="A56" s="2" t="inlineStr">
        <is>
          <t>of which pushed past 1 Nov (PwC Sep invoices, Meet Magic, Property NSW, anything you re-date)</t>
        </is>
      </c>
      <c r="F56" s="42">
        <f>F53-F55</f>
        <v/>
      </c>
    </row>
  </sheetData>
  <autoFilter ref="A4:K52"/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12" customWidth="1" min="3" max="3"/>
    <col width="14" customWidth="1" min="4" max="4"/>
    <col width="11" customWidth="1" min="5" max="5"/>
    <col width="16" customWidth="1" min="6" max="6"/>
    <col width="8" customWidth="1" min="7" max="7"/>
    <col width="60" customWidth="1" min="8" max="8"/>
  </cols>
  <sheetData>
    <row r="1">
      <c r="A1" s="1" t="inlineStr">
        <is>
          <t>Payables - every open bill, plus October's recurring bills not yet in Xero</t>
        </is>
      </c>
    </row>
    <row r="2">
      <c r="A2" s="2" t="inlineStr">
        <is>
          <t>Source: Xero aged payables 28 Sep 2026 ($283,042.53, 24 bills) and Xero repeating bill templates. Bills marked 'Card' are paid on the PL/DL credit cards and are covered by the credit-card settlement line on the Cash Flow tab, so they are excluded from the supplier totals to avoid double counting.</t>
        </is>
      </c>
    </row>
    <row r="4">
      <c r="A4" s="35" t="inlineStr">
        <is>
          <t>Supplier</t>
        </is>
      </c>
      <c r="B4" s="35" t="inlineStr">
        <is>
          <t>Bill / reference</t>
        </is>
      </c>
      <c r="C4" s="35" t="inlineStr">
        <is>
          <t>Due date</t>
        </is>
      </c>
      <c r="D4" s="35" t="inlineStr">
        <is>
          <t>Amount (incl GST)</t>
        </is>
      </c>
      <c r="E4" s="35" t="inlineStr">
        <is>
          <t>Method</t>
        </is>
      </c>
      <c r="F4" s="35" t="inlineStr">
        <is>
          <t>Planned payment date</t>
        </is>
      </c>
      <c r="G4" s="35" t="inlineStr">
        <is>
          <t>Week</t>
        </is>
      </c>
      <c r="H4" s="35" t="inlineStr">
        <is>
          <t>Notes</t>
        </is>
      </c>
    </row>
    <row r="5">
      <c r="A5" s="12" t="inlineStr">
        <is>
          <t>Appspace, Inc.</t>
        </is>
      </c>
      <c r="B5" s="12" t="inlineStr">
        <is>
          <t>INV00133660 - Appspace licensing for Aware Super</t>
        </is>
      </c>
      <c r="C5" s="38" t="n">
        <v>46319</v>
      </c>
      <c r="D5" s="26" t="n">
        <v>20985.43</v>
      </c>
      <c r="E5" s="27" t="inlineStr">
        <is>
          <t>EFT</t>
        </is>
      </c>
      <c r="F5" s="38" t="n">
        <v>46318</v>
      </c>
      <c r="G5" s="12">
        <f>IF(F5&lt;Assumptions!$B$5,"Before",IF(F5&gt;Assumptions!$C$37,"After",INT((F5-Assumptions!$B$5)/7)+1))</f>
        <v/>
      </c>
      <c r="H5" s="14" t="inlineStr">
        <is>
          <t>Pay once Aware's matching invoice INV-10635 ($23,317) is received (expected 16 Oct)</t>
        </is>
      </c>
    </row>
    <row r="6">
      <c r="A6" s="12" t="inlineStr">
        <is>
          <t>Complete AV Solutions</t>
        </is>
      </c>
      <c r="B6" s="12" t="inlineStr">
        <is>
          <t>INV41565 - Aware Super seminar room audio upgrade</t>
        </is>
      </c>
      <c r="C6" s="38" t="n">
        <v>46291</v>
      </c>
      <c r="D6" s="26" t="n">
        <v>178119.25</v>
      </c>
      <c r="E6" s="27" t="inlineStr">
        <is>
          <t>EFT</t>
        </is>
      </c>
      <c r="F6" s="40" t="n">
        <v>46309</v>
      </c>
      <c r="G6" s="12">
        <f>IF(F6&lt;Assumptions!$B$5,"Before",IF(F6&gt;Assumptions!$C$37,"After",INT((F6-Assumptions!$B$5)/7)+1))</f>
        <v/>
      </c>
      <c r="H6" s="14" t="inlineStr">
        <is>
          <t>ON HOLD per bill note 'hold off until payment received from Aware'. Aware INV-10596 ($225,887) expected 9 Oct - pay the week after. Largest single outflow.</t>
        </is>
      </c>
    </row>
    <row r="7">
      <c r="A7" s="12" t="inlineStr">
        <is>
          <t>Crestron ANZ</t>
        </is>
      </c>
      <c r="B7" s="12" t="inlineStr">
        <is>
          <t>INV950936412 - Aware SYD 28.06 equipment</t>
        </is>
      </c>
      <c r="C7" s="38" t="n">
        <v>46314</v>
      </c>
      <c r="D7" s="26" t="n">
        <v>7103.26</v>
      </c>
      <c r="E7" s="27" t="inlineStr">
        <is>
          <t>EFT</t>
        </is>
      </c>
      <c r="F7" s="38" t="n">
        <v>46314</v>
      </c>
      <c r="G7" s="12">
        <f>IF(F7&lt;Assumptions!$B$5,"Before",IF(F7&gt;Assumptions!$C$37,"After",INT((F7-Assumptions!$B$5)/7)+1))</f>
        <v/>
      </c>
      <c r="H7" s="14" t="inlineStr">
        <is>
          <t>On due date</t>
        </is>
      </c>
    </row>
    <row r="8">
      <c r="A8" s="12" t="inlineStr">
        <is>
          <t>Employsure</t>
        </is>
      </c>
      <c r="B8" s="12" t="inlineStr">
        <is>
          <t>41 of 60</t>
        </is>
      </c>
      <c r="C8" s="38" t="n">
        <v>46271</v>
      </c>
      <c r="D8" s="26" t="n">
        <v>880</v>
      </c>
      <c r="E8" s="27" t="inlineStr">
        <is>
          <t>EFT</t>
        </is>
      </c>
      <c r="F8" s="38" t="n">
        <v>46296</v>
      </c>
      <c r="G8" s="12">
        <f>IF(F8&lt;Assumptions!$B$5,"Before",IF(F8&gt;Assumptions!$C$37,"After",INT((F8-Assumptions!$B$5)/7)+1))</f>
        <v/>
      </c>
      <c r="H8" s="14" t="inlineStr">
        <is>
          <t>Overdue - pay this week</t>
        </is>
      </c>
    </row>
    <row r="9">
      <c r="A9" s="12" t="inlineStr">
        <is>
          <t>Energy Australia</t>
        </is>
      </c>
      <c r="B9" s="12" t="inlineStr">
        <is>
          <t>INV260382065288 - energy 23 Jul-22 Aug</t>
        </is>
      </c>
      <c r="C9" s="38" t="n">
        <v>46294</v>
      </c>
      <c r="D9" s="26" t="n">
        <v>377.13</v>
      </c>
      <c r="E9" s="27" t="inlineStr">
        <is>
          <t>Card</t>
        </is>
      </c>
      <c r="F9" s="38" t="n">
        <v>46294</v>
      </c>
      <c r="G9" s="12">
        <f>IF(F9&lt;Assumptions!$B$5,"Before",IF(F9&gt;Assumptions!$C$37,"After",INT((F9-Assumptions!$B$5)/7)+1))</f>
        <v/>
      </c>
      <c r="H9" s="14" t="inlineStr">
        <is>
          <t>Direct debit via PL credit card</t>
        </is>
      </c>
    </row>
    <row r="10">
      <c r="A10" s="12" t="inlineStr">
        <is>
          <t>Energy Australia</t>
        </is>
      </c>
      <c r="B10" s="12" t="inlineStr">
        <is>
          <t>INV260412412804 - electricity 23 Aug-21 Sep</t>
        </is>
      </c>
      <c r="C10" s="38" t="n">
        <v>46309</v>
      </c>
      <c r="D10" s="26" t="n">
        <v>696.25</v>
      </c>
      <c r="E10" s="27" t="inlineStr">
        <is>
          <t>Card</t>
        </is>
      </c>
      <c r="F10" s="38" t="n">
        <v>46309</v>
      </c>
      <c r="G10" s="12">
        <f>IF(F10&lt;Assumptions!$B$5,"Before",IF(F10&gt;Assumptions!$C$37,"After",INT((F10-Assumptions!$B$5)/7)+1))</f>
        <v/>
      </c>
      <c r="H10" s="14" t="inlineStr">
        <is>
          <t>Direct debit via PL credit card</t>
        </is>
      </c>
    </row>
    <row r="11">
      <c r="A11" s="12" t="inlineStr">
        <is>
          <t>Eptura Australia</t>
        </is>
      </c>
      <c r="B11" s="12" t="inlineStr">
        <is>
          <t>INV-85230 - Proxyclick renewal APA VMS yr 2</t>
        </is>
      </c>
      <c r="C11" s="38" t="n">
        <v>46296</v>
      </c>
      <c r="D11" s="26" t="n">
        <v>3627.04</v>
      </c>
      <c r="E11" s="27" t="inlineStr">
        <is>
          <t>EFT</t>
        </is>
      </c>
      <c r="F11" s="38" t="n">
        <v>46296</v>
      </c>
      <c r="G11" s="12">
        <f>IF(F11&lt;Assumptions!$B$5,"Before",IF(F11&gt;Assumptions!$C$37,"After",INT((F11-Assumptions!$B$5)/7)+1))</f>
        <v/>
      </c>
      <c r="H11" s="14" t="inlineStr">
        <is>
          <t>On due date</t>
        </is>
      </c>
    </row>
    <row r="12">
      <c r="A12" s="12" t="inlineStr">
        <is>
          <t>Expedia</t>
        </is>
      </c>
      <c r="B12" s="12" t="inlineStr">
        <is>
          <t>ITN73550041732636 - accommodation D Hurley</t>
        </is>
      </c>
      <c r="C12" s="38" t="n">
        <v>46287</v>
      </c>
      <c r="D12" s="26" t="n">
        <v>808.95</v>
      </c>
      <c r="E12" s="27" t="inlineStr">
        <is>
          <t>Card</t>
        </is>
      </c>
      <c r="F12" s="38" t="n">
        <v>46287</v>
      </c>
      <c r="G12" s="12">
        <f>IF(F12&lt;Assumptions!$B$5,"Before",IF(F12&gt;Assumptions!$C$37,"After",INT((F12-Assumptions!$B$5)/7)+1))</f>
        <v/>
      </c>
      <c r="H12" s="14" t="inlineStr">
        <is>
          <t>Earlier Expedia bookings went on the PL card</t>
        </is>
      </c>
    </row>
    <row r="13">
      <c r="A13" s="12" t="inlineStr">
        <is>
          <t>Fredon Technology</t>
        </is>
      </c>
      <c r="B13" s="12" t="inlineStr">
        <is>
          <t>INV11S-26080021 - DTTL 8PSQ Dream Big microphones</t>
        </is>
      </c>
      <c r="C13" s="38" t="n">
        <v>46288</v>
      </c>
      <c r="D13" s="26" t="n">
        <v>24708.2</v>
      </c>
      <c r="E13" s="27" t="inlineStr">
        <is>
          <t>EFT</t>
        </is>
      </c>
      <c r="F13" s="38" t="n">
        <v>46302</v>
      </c>
      <c r="G13" s="12">
        <f>IF(F13&lt;Assumptions!$B$5,"Before",IF(F13&gt;Assumptions!$C$37,"After",INT((F13-Assumptions!$B$5)/7)+1))</f>
        <v/>
      </c>
      <c r="H13" s="14" t="inlineStr">
        <is>
          <t>Overdue; bill note 'DH to confirm'. Assume released week 2</t>
        </is>
      </c>
    </row>
    <row r="14">
      <c r="A14" s="12" t="inlineStr">
        <is>
          <t>Investa Asset Management</t>
        </is>
      </c>
      <c r="B14" s="12" t="inlineStr">
        <is>
          <t>INV5310034149 - Rent September 2026 (incl. pest)</t>
        </is>
      </c>
      <c r="C14" s="38" t="n">
        <v>46317</v>
      </c>
      <c r="D14" s="26" t="n">
        <v>29280.72</v>
      </c>
      <c r="E14" s="27" t="inlineStr">
        <is>
          <t>EFT</t>
        </is>
      </c>
      <c r="F14" s="38" t="n">
        <v>46317</v>
      </c>
      <c r="G14" s="12">
        <f>IF(F14&lt;Assumptions!$B$5,"Before",IF(F14&gt;Assumptions!$C$37,"After",INT((F14-Assumptions!$B$5)/7)+1))</f>
        <v/>
      </c>
      <c r="H14" s="14" t="inlineStr">
        <is>
          <t>On due date. October rent will be invoiced ~22 Oct and due ~22 Nov (outside forecast)</t>
        </is>
      </c>
    </row>
    <row r="15">
      <c r="A15" s="12" t="inlineStr">
        <is>
          <t>Mailchimp</t>
        </is>
      </c>
      <c r="B15" s="12" t="inlineStr">
        <is>
          <t>MC27286583 - September</t>
        </is>
      </c>
      <c r="C15" s="38" t="n">
        <v>46283</v>
      </c>
      <c r="D15" s="26" t="n">
        <v>37.62</v>
      </c>
      <c r="E15" s="27" t="inlineStr">
        <is>
          <t>Card</t>
        </is>
      </c>
      <c r="F15" s="38" t="n">
        <v>46283</v>
      </c>
      <c r="G15" s="12">
        <f>IF(F15&lt;Assumptions!$B$5,"Before",IF(F15&gt;Assumptions!$C$37,"After",INT((F15-Assumptions!$B$5)/7)+1))</f>
        <v/>
      </c>
      <c r="H15" s="14" t="inlineStr">
        <is>
          <t>PL card</t>
        </is>
      </c>
    </row>
    <row r="16">
      <c r="A16" s="12" t="inlineStr">
        <is>
          <t>Optus</t>
        </is>
      </c>
      <c r="B16" s="12" t="inlineStr">
        <is>
          <t>INV000594614144 - office internet &amp; landline Sep</t>
        </is>
      </c>
      <c r="C16" s="38" t="n">
        <v>46288</v>
      </c>
      <c r="D16" s="26" t="n">
        <v>629.66</v>
      </c>
      <c r="E16" s="27" t="inlineStr">
        <is>
          <t>Card</t>
        </is>
      </c>
      <c r="F16" s="38" t="n">
        <v>46288</v>
      </c>
      <c r="G16" s="12">
        <f>IF(F16&lt;Assumptions!$B$5,"Before",IF(F16&gt;Assumptions!$C$37,"After",INT((F16-Assumptions!$B$5)/7)+1))</f>
        <v/>
      </c>
      <c r="H16" s="14" t="inlineStr">
        <is>
          <t>PL card</t>
        </is>
      </c>
    </row>
    <row r="17">
      <c r="A17" s="12" t="inlineStr">
        <is>
          <t>Optus</t>
        </is>
      </c>
      <c r="B17" s="12" t="inlineStr">
        <is>
          <t>INV000594999543 - staff mobiles Sep</t>
        </is>
      </c>
      <c r="C17" s="38" t="n">
        <v>46307</v>
      </c>
      <c r="D17" s="26" t="n">
        <v>804.11</v>
      </c>
      <c r="E17" s="27" t="inlineStr">
        <is>
          <t>BPAY</t>
        </is>
      </c>
      <c r="F17" s="38" t="n">
        <v>46307</v>
      </c>
      <c r="G17" s="12">
        <f>IF(F17&lt;Assumptions!$B$5,"Before",IF(F17&gt;Assumptions!$C$37,"After",INT((F17-Assumptions!$B$5)/7)+1))</f>
        <v/>
      </c>
      <c r="H17" s="14" t="inlineStr">
        <is>
          <t>BPAY on due date</t>
        </is>
      </c>
    </row>
    <row r="18">
      <c r="A18" s="12" t="inlineStr">
        <is>
          <t>Persona Health</t>
        </is>
      </c>
      <c r="B18" s="12" t="inlineStr">
        <is>
          <t>INV-18315 - fitness for duty assessment</t>
        </is>
      </c>
      <c r="C18" s="38" t="n">
        <v>46275</v>
      </c>
      <c r="D18" s="26" t="n">
        <v>996.6</v>
      </c>
      <c r="E18" s="27" t="inlineStr">
        <is>
          <t>EFT</t>
        </is>
      </c>
      <c r="F18" s="38" t="n">
        <v>46316</v>
      </c>
      <c r="G18" s="12">
        <f>IF(F18&lt;Assumptions!$B$5,"Before",IF(F18&gt;Assumptions!$C$37,"After",INT((F18-Assumptions!$B$5)/7)+1))</f>
        <v/>
      </c>
      <c r="H18" s="14" t="inlineStr">
        <is>
          <t>Bill note: GC advised hold payment until he confirms. Assumed released week 4</t>
        </is>
      </c>
    </row>
    <row r="19">
      <c r="A19" s="12" t="inlineStr">
        <is>
          <t>Posh Services (Ambius)</t>
        </is>
      </c>
      <c r="B19" s="12" t="inlineStr">
        <is>
          <t>INV21736844 - indoor plants Sep</t>
        </is>
      </c>
      <c r="C19" s="38" t="n">
        <v>46304</v>
      </c>
      <c r="D19" s="26" t="n">
        <v>245</v>
      </c>
      <c r="E19" s="27" t="inlineStr">
        <is>
          <t>EFT</t>
        </is>
      </c>
      <c r="F19" s="38" t="n">
        <v>46304</v>
      </c>
      <c r="G19" s="12">
        <f>IF(F19&lt;Assumptions!$B$5,"Before",IF(F19&gt;Assumptions!$C$37,"After",INT((F19-Assumptions!$B$5)/7)+1))</f>
        <v/>
      </c>
      <c r="H19" s="14" t="inlineStr">
        <is>
          <t>On due date</t>
        </is>
      </c>
    </row>
    <row r="20">
      <c r="A20" s="12" t="inlineStr">
        <is>
          <t>Ricoh Australia</t>
        </is>
      </c>
      <c r="B20" s="12" t="inlineStr">
        <is>
          <t>INV15759052 - printing Aug</t>
        </is>
      </c>
      <c r="C20" s="38" t="n">
        <v>46295</v>
      </c>
      <c r="D20" s="26" t="n">
        <v>235.6</v>
      </c>
      <c r="E20" s="27" t="inlineStr">
        <is>
          <t>DD</t>
        </is>
      </c>
      <c r="F20" s="38" t="n">
        <v>46295</v>
      </c>
      <c r="G20" s="12">
        <f>IF(F20&lt;Assumptions!$B$5,"Before",IF(F20&gt;Assumptions!$C$37,"After",INT((F20-Assumptions!$B$5)/7)+1))</f>
        <v/>
      </c>
      <c r="H20" s="14" t="inlineStr">
        <is>
          <t>Direct debit</t>
        </is>
      </c>
    </row>
    <row r="21">
      <c r="A21" s="12" t="inlineStr">
        <is>
          <t>RJW Group Holdings</t>
        </is>
      </c>
      <c r="B21" s="12" t="inlineStr">
        <is>
          <t>INV-0048 - website design balance</t>
        </is>
      </c>
      <c r="C21" s="38" t="n">
        <v>46295</v>
      </c>
      <c r="D21" s="26" t="n">
        <v>6600</v>
      </c>
      <c r="E21" s="27" t="inlineStr">
        <is>
          <t>EFT</t>
        </is>
      </c>
      <c r="F21" s="38" t="n">
        <v>46297</v>
      </c>
      <c r="G21" s="12">
        <f>IF(F21&lt;Assumptions!$B$5,"Before",IF(F21&gt;Assumptions!$C$37,"After",INT((F21-Assumptions!$B$5)/7)+1))</f>
        <v/>
      </c>
      <c r="H21" s="14" t="inlineStr">
        <is>
          <t>Bill note: check with DL before payment</t>
        </is>
      </c>
    </row>
    <row r="22">
      <c r="A22" s="12" t="inlineStr">
        <is>
          <t>Seek</t>
        </is>
      </c>
      <c r="B22" s="12" t="inlineStr">
        <is>
          <t>INV702112646 - job ad casual AV concierge</t>
        </is>
      </c>
      <c r="C22" s="38" t="n">
        <v>46283</v>
      </c>
      <c r="D22" s="26" t="n">
        <v>550</v>
      </c>
      <c r="E22" s="27" t="inlineStr">
        <is>
          <t>Card</t>
        </is>
      </c>
      <c r="F22" s="38" t="n">
        <v>46283</v>
      </c>
      <c r="G22" s="12">
        <f>IF(F22&lt;Assumptions!$B$5,"Before",IF(F22&gt;Assumptions!$C$37,"After",INT((F22-Assumptions!$B$5)/7)+1))</f>
        <v/>
      </c>
      <c r="H22" s="14" t="inlineStr">
        <is>
          <t>PL card</t>
        </is>
      </c>
    </row>
    <row r="23">
      <c r="A23" s="12" t="inlineStr">
        <is>
          <t>SPACERA</t>
        </is>
      </c>
      <c r="B23" s="12" t="inlineStr">
        <is>
          <t>INV-0056 - Aware Super national support (Sep)</t>
        </is>
      </c>
      <c r="C23" s="38" t="n">
        <v>46296</v>
      </c>
      <c r="D23" s="26" t="n">
        <v>5728.8</v>
      </c>
      <c r="E23" s="27" t="inlineStr">
        <is>
          <t>EFT</t>
        </is>
      </c>
      <c r="F23" s="38" t="n">
        <v>46296</v>
      </c>
      <c r="G23" s="12">
        <f>IF(F23&lt;Assumptions!$B$5,"Before",IF(F23&gt;Assumptions!$C$37,"After",INT((F23-Assumptions!$B$5)/7)+1))</f>
        <v/>
      </c>
      <c r="H23" s="14" t="inlineStr">
        <is>
          <t>On due date</t>
        </is>
      </c>
    </row>
    <row r="24">
      <c r="A24" s="12" t="inlineStr">
        <is>
          <t>Tec Art</t>
        </is>
      </c>
      <c r="B24" s="12" t="inlineStr">
        <is>
          <t>INV136603 - PRD asset purchase</t>
        </is>
      </c>
      <c r="C24" s="38" t="n">
        <v>46287</v>
      </c>
      <c r="D24" s="26" t="n">
        <v>657.5</v>
      </c>
      <c r="E24" s="27" t="inlineStr">
        <is>
          <t>Card</t>
        </is>
      </c>
      <c r="F24" s="38" t="n">
        <v>46287</v>
      </c>
      <c r="G24" s="12">
        <f>IF(F24&lt;Assumptions!$B$5,"Before",IF(F24&gt;Assumptions!$C$37,"After",INT((F24-Assumptions!$B$5)/7)+1))</f>
        <v/>
      </c>
      <c r="H24" s="14" t="inlineStr">
        <is>
          <t>PL card</t>
        </is>
      </c>
    </row>
    <row r="25">
      <c r="A25" s="12" t="inlineStr">
        <is>
          <t>Tec Art</t>
        </is>
      </c>
      <c r="B25" s="12" t="inlineStr">
        <is>
          <t>INV136603CR - refund</t>
        </is>
      </c>
      <c r="C25" s="38" t="n">
        <v>46289</v>
      </c>
      <c r="D25" s="26" t="n">
        <v>-657.5</v>
      </c>
      <c r="E25" s="27" t="inlineStr">
        <is>
          <t>Card</t>
        </is>
      </c>
      <c r="F25" s="38" t="n">
        <v>46289</v>
      </c>
      <c r="G25" s="12">
        <f>IF(F25&lt;Assumptions!$B$5,"Before",IF(F25&gt;Assumptions!$C$37,"After",INT((F25-Assumptions!$B$5)/7)+1))</f>
        <v/>
      </c>
      <c r="H25" s="14" t="inlineStr">
        <is>
          <t>Refund to PL card</t>
        </is>
      </c>
    </row>
    <row r="26">
      <c r="A26" s="12" t="inlineStr">
        <is>
          <t>Transport for NSW</t>
        </is>
      </c>
      <c r="B26" s="12" t="inlineStr">
        <is>
          <t>Opal top-up T Wood</t>
        </is>
      </c>
      <c r="C26" s="38" t="n">
        <v>46283</v>
      </c>
      <c r="D26" s="26" t="n">
        <v>20</v>
      </c>
      <c r="E26" s="27" t="inlineStr">
        <is>
          <t>Card</t>
        </is>
      </c>
      <c r="F26" s="38" t="n">
        <v>46283</v>
      </c>
      <c r="G26" s="12">
        <f>IF(F26&lt;Assumptions!$B$5,"Before",IF(F26&gt;Assumptions!$C$37,"After",INT((F26-Assumptions!$B$5)/7)+1))</f>
        <v/>
      </c>
      <c r="H26" s="14" t="inlineStr">
        <is>
          <t>Card</t>
        </is>
      </c>
    </row>
    <row r="27">
      <c r="A27" s="12" t="inlineStr">
        <is>
          <t>Virgin Australia</t>
        </is>
      </c>
      <c r="B27" s="12" t="inlineStr">
        <is>
          <t>SYMUMZ-3 - rescheduled flights D Hurley</t>
        </is>
      </c>
      <c r="C27" s="38" t="n">
        <v>46283</v>
      </c>
      <c r="D27" s="26" t="n">
        <v>501.91</v>
      </c>
      <c r="E27" s="27" t="inlineStr">
        <is>
          <t>Card</t>
        </is>
      </c>
      <c r="F27" s="38" t="n">
        <v>46283</v>
      </c>
      <c r="G27" s="12">
        <f>IF(F27&lt;Assumptions!$B$5,"Before",IF(F27&gt;Assumptions!$C$37,"After",INT((F27-Assumptions!$B$5)/7)+1))</f>
        <v/>
      </c>
      <c r="H27" s="14" t="inlineStr">
        <is>
          <t>Earlier Virgin bookings went on the PL card</t>
        </is>
      </c>
    </row>
    <row r="28">
      <c r="A28" s="12" t="inlineStr">
        <is>
          <t>Xero</t>
        </is>
      </c>
      <c r="B28" s="12" t="inlineStr">
        <is>
          <t>INV-56302114 - subscription Sep</t>
        </is>
      </c>
      <c r="C28" s="38" t="n">
        <v>46289</v>
      </c>
      <c r="D28" s="26" t="n">
        <v>107</v>
      </c>
      <c r="E28" s="27" t="inlineStr">
        <is>
          <t>Card</t>
        </is>
      </c>
      <c r="F28" s="38" t="n">
        <v>46289</v>
      </c>
      <c r="G28" s="12">
        <f>IF(F28&lt;Assumptions!$B$5,"Before",IF(F28&gt;Assumptions!$C$37,"After",INT((F28-Assumptions!$B$5)/7)+1))</f>
        <v/>
      </c>
      <c r="H28" s="14" t="inlineStr">
        <is>
          <t>PL card</t>
        </is>
      </c>
    </row>
    <row r="29">
      <c r="A29" s="15" t="inlineStr">
        <is>
          <t>TOTAL open bills in Xero (should equal $283,042.53)</t>
        </is>
      </c>
      <c r="D29" s="41">
        <f>SUM(D5:D28)</f>
        <v/>
      </c>
    </row>
    <row r="30">
      <c r="A30" s="2" t="inlineStr">
        <is>
          <t>of which paid by card (excluded - see credit card line)</t>
        </is>
      </c>
      <c r="D30" s="42">
        <f>SUMIFS(D5:D28,E5:E28,"Card")</f>
        <v/>
      </c>
    </row>
    <row r="32">
      <c r="A32" s="24" t="inlineStr">
        <is>
          <t>OCTOBER RECURRING BILLS NOT YET IN XERO (from repeating-bill templates)</t>
        </is>
      </c>
      <c r="B32" s="6" t="n"/>
      <c r="C32" s="6" t="n"/>
      <c r="D32" s="6" t="n"/>
      <c r="E32" s="6" t="n"/>
      <c r="F32" s="6" t="n"/>
      <c r="G32" s="6" t="n"/>
      <c r="H32" s="6" t="n"/>
    </row>
    <row r="33">
      <c r="A33" s="12" t="inlineStr">
        <is>
          <t>First Focus IT</t>
        </is>
      </c>
      <c r="B33" s="12" t="inlineStr">
        <is>
          <t>CORE Intelligent Managed Services - October</t>
        </is>
      </c>
      <c r="C33" s="38" t="n">
        <v>46311</v>
      </c>
      <c r="D33" s="26" t="n">
        <v>13755.77</v>
      </c>
      <c r="E33" s="27" t="inlineStr">
        <is>
          <t>DD</t>
        </is>
      </c>
      <c r="F33" s="38" t="n">
        <v>46311</v>
      </c>
      <c r="G33" s="12">
        <f>IF(F33&lt;Assumptions!$B$5,"Before",IF(F33&gt;Assumptions!$C$37,"After",INT((F33-Assumptions!$B$5)/7)+1))</f>
        <v/>
      </c>
      <c r="H33" s="14" t="inlineStr">
        <is>
          <t>Repeating bill template, direct debit</t>
        </is>
      </c>
    </row>
    <row r="34">
      <c r="A34" s="12" t="inlineStr">
        <is>
          <t>First Focus IT</t>
        </is>
      </c>
      <c r="B34" s="12" t="inlineStr">
        <is>
          <t>Managed Services Azure - October</t>
        </is>
      </c>
      <c r="C34" s="38" t="n">
        <v>46311</v>
      </c>
      <c r="D34" s="26" t="n">
        <v>710.5</v>
      </c>
      <c r="E34" s="27" t="inlineStr">
        <is>
          <t>DD</t>
        </is>
      </c>
      <c r="F34" s="38" t="n">
        <v>46311</v>
      </c>
      <c r="G34" s="12">
        <f>IF(F34&lt;Assumptions!$B$5,"Before",IF(F34&gt;Assumptions!$C$37,"After",INT((F34-Assumptions!$B$5)/7)+1))</f>
        <v/>
      </c>
      <c r="H34" s="14" t="inlineStr">
        <is>
          <t>Repeating bill template, direct debit</t>
        </is>
      </c>
    </row>
    <row r="35">
      <c r="A35" s="12" t="inlineStr">
        <is>
          <t>RJW Group Holdings</t>
        </is>
      </c>
      <c r="B35" s="12" t="inlineStr">
        <is>
          <t>Digital growth marketing - October</t>
        </is>
      </c>
      <c r="C35" s="38" t="n">
        <v>46316</v>
      </c>
      <c r="D35" s="26" t="n">
        <v>4675</v>
      </c>
      <c r="E35" s="27" t="inlineStr">
        <is>
          <t>EFT</t>
        </is>
      </c>
      <c r="F35" s="38" t="n">
        <v>46316</v>
      </c>
      <c r="G35" s="12">
        <f>IF(F35&lt;Assumptions!$B$5,"Before",IF(F35&gt;Assumptions!$C$37,"After",INT((F35-Assumptions!$B$5)/7)+1))</f>
        <v/>
      </c>
      <c r="H35" s="14" t="inlineStr">
        <is>
          <t>Repeating bill template</t>
        </is>
      </c>
    </row>
    <row r="36">
      <c r="A36" s="12" t="inlineStr">
        <is>
          <t>Cleveland Partners (8020 Advisors)</t>
        </is>
      </c>
      <c r="B36" s="12" t="inlineStr">
        <is>
          <t>Monthly advisory fees</t>
        </is>
      </c>
      <c r="C36" s="38" t="n">
        <v>46302</v>
      </c>
      <c r="D36" s="26" t="n">
        <v>3850</v>
      </c>
      <c r="E36" s="27" t="inlineStr">
        <is>
          <t>EFT</t>
        </is>
      </c>
      <c r="F36" s="38" t="n">
        <v>46302</v>
      </c>
      <c r="G36" s="12">
        <f>IF(F36&lt;Assumptions!$B$5,"Before",IF(F36&gt;Assumptions!$C$37,"After",INT((F36-Assumptions!$B$5)/7)+1))</f>
        <v/>
      </c>
      <c r="H36" s="14" t="inlineStr">
        <is>
          <t>Repeating bill template $3,850/month (Sep cash P&amp;L shows $5,000 business advisory). Date assumed</t>
        </is>
      </c>
    </row>
    <row r="37">
      <c r="A37" s="12" t="inlineStr">
        <is>
          <t>SPACERA</t>
        </is>
      </c>
      <c r="B37" s="12" t="inlineStr">
        <is>
          <t>Aware Super national support - October</t>
        </is>
      </c>
      <c r="C37" s="38" t="n">
        <v>46326</v>
      </c>
      <c r="D37" s="26" t="n">
        <v>5728.8</v>
      </c>
      <c r="E37" s="27" t="inlineStr">
        <is>
          <t>EFT</t>
        </is>
      </c>
      <c r="F37" s="38" t="n">
        <v>46326</v>
      </c>
      <c r="G37" s="12">
        <f>IF(F37&lt;Assumptions!$B$5,"Before",IF(F37&gt;Assumptions!$C$37,"After",INT((F37-Assumptions!$B$5)/7)+1))</f>
        <v/>
      </c>
      <c r="H37" s="14" t="inlineStr">
        <is>
          <t>Repeating bill, next due 31 Oct</t>
        </is>
      </c>
    </row>
    <row r="38">
      <c r="A38" s="12" t="inlineStr">
        <is>
          <t>LiveU</t>
        </is>
      </c>
      <c r="B38" s="12" t="inlineStr">
        <is>
          <t>SOLO standard data pack - October</t>
        </is>
      </c>
      <c r="C38" s="38" t="n">
        <v>46309</v>
      </c>
      <c r="D38" s="26" t="n">
        <v>1485</v>
      </c>
      <c r="E38" s="27" t="inlineStr">
        <is>
          <t>EFT</t>
        </is>
      </c>
      <c r="F38" s="38" t="n">
        <v>46309</v>
      </c>
      <c r="G38" s="12">
        <f>IF(F38&lt;Assumptions!$B$5,"Before",IF(F38&gt;Assumptions!$C$37,"After",INT((F38-Assumptions!$B$5)/7)+1))</f>
        <v/>
      </c>
      <c r="H38" s="14" t="inlineStr">
        <is>
          <t>Repeating bill, due 14 Oct</t>
        </is>
      </c>
    </row>
    <row r="39">
      <c r="A39" s="12" t="inlineStr">
        <is>
          <t>Employsure</t>
        </is>
      </c>
      <c r="B39" s="12" t="inlineStr">
        <is>
          <t>42 of 60 - October</t>
        </is>
      </c>
      <c r="C39" s="38" t="n">
        <v>46300</v>
      </c>
      <c r="D39" s="26" t="n">
        <v>880</v>
      </c>
      <c r="E39" s="27" t="inlineStr">
        <is>
          <t>EFT</t>
        </is>
      </c>
      <c r="F39" s="38" t="n">
        <v>46300</v>
      </c>
      <c r="G39" s="12">
        <f>IF(F39&lt;Assumptions!$B$5,"Before",IF(F39&gt;Assumptions!$C$37,"After",INT((F39-Assumptions!$B$5)/7)+1))</f>
        <v/>
      </c>
      <c r="H39" s="14" t="inlineStr">
        <is>
          <t>Repeating bill, due 5 Oct</t>
        </is>
      </c>
    </row>
    <row r="40">
      <c r="A40" s="12" t="inlineStr">
        <is>
          <t>The CEO Institute</t>
        </is>
      </c>
      <c r="B40" s="12" t="inlineStr">
        <is>
          <t>Syndicate membership (DL) - quarterly</t>
        </is>
      </c>
      <c r="C40" s="38" t="n">
        <v>46303</v>
      </c>
      <c r="D40" s="26" t="n">
        <v>2310</v>
      </c>
      <c r="E40" s="27" t="inlineStr">
        <is>
          <t>EFT</t>
        </is>
      </c>
      <c r="F40" s="38" t="n">
        <v>46303</v>
      </c>
      <c r="G40" s="12">
        <f>IF(F40&lt;Assumptions!$B$5,"Before",IF(F40&gt;Assumptions!$C$37,"After",INT((F40-Assumptions!$B$5)/7)+1))</f>
        <v/>
      </c>
      <c r="H40" s="14" t="inlineStr">
        <is>
          <t>Repeating bill every 3 months, due 8 Oct</t>
        </is>
      </c>
    </row>
    <row r="41">
      <c r="A41" s="12" t="inlineStr">
        <is>
          <t>Telstra</t>
        </is>
      </c>
      <c r="B41" s="12" t="inlineStr">
        <is>
          <t>Nighthawk data plans - October</t>
        </is>
      </c>
      <c r="C41" s="38" t="n">
        <v>46326</v>
      </c>
      <c r="D41" s="26" t="n">
        <v>130</v>
      </c>
      <c r="E41" s="27" t="inlineStr">
        <is>
          <t>EFT</t>
        </is>
      </c>
      <c r="F41" s="38" t="n">
        <v>46326</v>
      </c>
      <c r="G41" s="12">
        <f>IF(F41&lt;Assumptions!$B$5,"Before",IF(F41&gt;Assumptions!$C$37,"After",INT((F41-Assumptions!$B$5)/7)+1))</f>
        <v/>
      </c>
      <c r="H41" s="14" t="inlineStr">
        <is>
          <t>Repeating bill</t>
        </is>
      </c>
    </row>
    <row r="42">
      <c r="A42" s="12" t="inlineStr">
        <is>
          <t>Employment Hero</t>
        </is>
      </c>
      <c r="B42" s="12" t="inlineStr">
        <is>
          <t>Subscription - September</t>
        </is>
      </c>
      <c r="C42" s="38" t="n">
        <v>46325</v>
      </c>
      <c r="D42" s="26" t="n">
        <v>2048.2</v>
      </c>
      <c r="E42" s="27" t="inlineStr">
        <is>
          <t>Card</t>
        </is>
      </c>
      <c r="F42" s="38" t="n">
        <v>46295</v>
      </c>
      <c r="G42" s="12">
        <f>IF(F42&lt;Assumptions!$B$5,"Before",IF(F42&gt;Assumptions!$C$37,"After",INT((F42-Assumptions!$B$5)/7)+1))</f>
        <v/>
      </c>
      <c r="H42" s="14" t="inlineStr">
        <is>
          <t>PL card - in credit card settlement line</t>
        </is>
      </c>
    </row>
    <row r="43">
      <c r="A43" s="12" t="inlineStr">
        <is>
          <t>Goget Carshare</t>
        </is>
      </c>
      <c r="B43" s="12" t="inlineStr">
        <is>
          <t>September usage</t>
        </is>
      </c>
      <c r="C43" s="38" t="n">
        <v>46325</v>
      </c>
      <c r="D43" s="26" t="n">
        <v>1783.07</v>
      </c>
      <c r="E43" s="27" t="inlineStr">
        <is>
          <t>Card</t>
        </is>
      </c>
      <c r="F43" s="38" t="n">
        <v>46295</v>
      </c>
      <c r="G43" s="12">
        <f>IF(F43&lt;Assumptions!$B$5,"Before",IF(F43&gt;Assumptions!$C$37,"After",INT((F43-Assumptions!$B$5)/7)+1))</f>
        <v/>
      </c>
      <c r="H43" s="14" t="inlineStr">
        <is>
          <t>PL card - in credit card settlement line</t>
        </is>
      </c>
    </row>
    <row r="44">
      <c r="A44" s="12" t="inlineStr">
        <is>
          <t>Zoom</t>
        </is>
      </c>
      <c r="B44" s="12" t="inlineStr">
        <is>
          <t>Monthly subscription</t>
        </is>
      </c>
      <c r="C44" s="38" t="n">
        <v>46323</v>
      </c>
      <c r="D44" s="26" t="n">
        <v>323.97</v>
      </c>
      <c r="E44" s="27" t="inlineStr">
        <is>
          <t>Card</t>
        </is>
      </c>
      <c r="F44" s="38" t="n">
        <v>46323</v>
      </c>
      <c r="G44" s="12">
        <f>IF(F44&lt;Assumptions!$B$5,"Before",IF(F44&gt;Assumptions!$C$37,"After",INT((F44-Assumptions!$B$5)/7)+1))</f>
        <v/>
      </c>
      <c r="H44" s="14" t="inlineStr">
        <is>
          <t>PL card</t>
        </is>
      </c>
    </row>
    <row r="45">
      <c r="A45" s="12" t="inlineStr">
        <is>
          <t>Insphire (Current RMS)</t>
        </is>
      </c>
      <c r="B45" s="12" t="inlineStr">
        <is>
          <t>October</t>
        </is>
      </c>
      <c r="C45" s="38" t="n">
        <v>46311</v>
      </c>
      <c r="D45" s="26" t="n">
        <v>431</v>
      </c>
      <c r="E45" s="27" t="inlineStr">
        <is>
          <t>Card</t>
        </is>
      </c>
      <c r="F45" s="38" t="n">
        <v>46311</v>
      </c>
      <c r="G45" s="12">
        <f>IF(F45&lt;Assumptions!$B$5,"Before",IF(F45&gt;Assumptions!$C$37,"After",INT((F45-Assumptions!$B$5)/7)+1))</f>
        <v/>
      </c>
      <c r="H45" s="14" t="inlineStr">
        <is>
          <t>PL card</t>
        </is>
      </c>
    </row>
    <row r="46">
      <c r="A46" s="12" t="inlineStr">
        <is>
          <t>Optus</t>
        </is>
      </c>
      <c r="B46" s="12" t="inlineStr">
        <is>
          <t>Office internet &amp; landline - October</t>
        </is>
      </c>
      <c r="C46" s="38" t="n">
        <v>46316</v>
      </c>
      <c r="D46" s="26" t="n">
        <v>629.66</v>
      </c>
      <c r="E46" s="27" t="inlineStr">
        <is>
          <t>Card</t>
        </is>
      </c>
      <c r="F46" s="38" t="n">
        <v>46316</v>
      </c>
      <c r="G46" s="12">
        <f>IF(F46&lt;Assumptions!$B$5,"Before",IF(F46&gt;Assumptions!$C$37,"After",INT((F46-Assumptions!$B$5)/7)+1))</f>
        <v/>
      </c>
      <c r="H46" s="14" t="inlineStr">
        <is>
          <t>PL card</t>
        </is>
      </c>
    </row>
    <row r="47">
      <c r="A47" s="12" t="inlineStr">
        <is>
          <t>Adobe / Spotify / Avangate / Telstra recharges / misc</t>
        </is>
      </c>
      <c r="B47" s="12" t="inlineStr">
        <is>
          <t>Small monthly subscriptions</t>
        </is>
      </c>
      <c r="C47" s="38" t="n">
        <v>46310</v>
      </c>
      <c r="D47" s="26" t="n">
        <v>700</v>
      </c>
      <c r="E47" s="27" t="inlineStr">
        <is>
          <t>Card</t>
        </is>
      </c>
      <c r="F47" s="38" t="n">
        <v>46310</v>
      </c>
      <c r="G47" s="12">
        <f>IF(F47&lt;Assumptions!$B$5,"Before",IF(F47&gt;Assumptions!$C$37,"After",INT((F47-Assumptions!$B$5)/7)+1))</f>
        <v/>
      </c>
      <c r="H47" s="14" t="inlineStr">
        <is>
          <t>PL/DL cards - approx</t>
        </is>
      </c>
    </row>
    <row r="48">
      <c r="A48" s="12" t="inlineStr">
        <is>
          <t>Investa Asset Management</t>
        </is>
      </c>
      <c r="B48" s="12" t="inlineStr">
        <is>
          <t>Rent October 2026</t>
        </is>
      </c>
      <c r="C48" s="38" t="n">
        <v>46348</v>
      </c>
      <c r="D48" s="26" t="n">
        <v>29280.72</v>
      </c>
      <c r="E48" s="27" t="inlineStr">
        <is>
          <t>EFT</t>
        </is>
      </c>
      <c r="F48" s="38" t="n">
        <v>46348</v>
      </c>
      <c r="G48" s="12">
        <f>IF(F48&lt;Assumptions!$B$5,"Before",IF(F48&gt;Assumptions!$C$37,"After",INT((F48-Assumptions!$B$5)/7)+1))</f>
        <v/>
      </c>
      <c r="H48" s="14" t="inlineStr">
        <is>
          <t>Invoiced ~22 Oct, due ~22 Nov - AFTER this forecast</t>
        </is>
      </c>
    </row>
    <row r="49">
      <c r="A49" s="12" t="inlineStr">
        <is>
          <t>Optus</t>
        </is>
      </c>
      <c r="B49" s="12" t="inlineStr">
        <is>
          <t>Staff mobiles - October</t>
        </is>
      </c>
      <c r="C49" s="38" t="n">
        <v>46334</v>
      </c>
      <c r="D49" s="26" t="n">
        <v>804.0599999999999</v>
      </c>
      <c r="E49" s="27" t="inlineStr">
        <is>
          <t>BPAY</t>
        </is>
      </c>
      <c r="F49" s="38" t="n">
        <v>46334</v>
      </c>
      <c r="G49" s="12">
        <f>IF(F49&lt;Assumptions!$B$5,"Before",IF(F49&gt;Assumptions!$C$37,"After",INT((F49-Assumptions!$B$5)/7)+1))</f>
        <v/>
      </c>
      <c r="H49" s="14" t="inlineStr">
        <is>
          <t>Due 8 Nov - AFTER this forecast</t>
        </is>
      </c>
    </row>
    <row r="50">
      <c r="A50" s="15" t="inlineStr">
        <is>
          <t>TOTAL recurring (non-card, inside forecast window)</t>
        </is>
      </c>
      <c r="D50" s="41">
        <f>SUMIFS(D33:D49,E33:E49,"&lt;&gt;Card",F33:F49,"&gt;="&amp;Assumptions!$B$5,F33:F49,"&lt;="&amp;Assumptions!$C$37)</f>
        <v/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2026-09-28T05:27:01Z</dcterms:created>
  <dcterms:modified xsi:type="dcterms:W3CDTF">2026-09-28T05:27:01Z</dcterms:modified>
</cp:coreProperties>
</file>