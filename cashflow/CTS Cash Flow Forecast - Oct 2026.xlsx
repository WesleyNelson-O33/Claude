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Flow" sheetId="1" state="visible" r:id="rId1"/>
    <sheet name="Assumptions" sheetId="2" state="visible" r:id="rId2"/>
    <sheet name="Payroll" sheetId="3" state="visible" r:id="rId3"/>
    <sheet name="Receivables" sheetId="4" state="visible" r:id="rId4"/>
    <sheet name="Payables" sheetId="5" state="visible" r:id="rId5"/>
    <sheet name="Complete AV" sheetId="6" state="visible" r:id="rId6"/>
  </sheets>
  <definedNames>
    <definedName name="_xlnm._FilterDatabase" localSheetId="3" hidden="1">'Receivables'!$A$4:$K$52</definedName>
    <definedName name="_xlnm._FilterDatabase" localSheetId="4" hidden="1">'Payables'!$A$18:$J$60</definedName>
  </definedNames>
  <calcPr calcId="124519" fullCalcOnLoad="1"/>
</workbook>
</file>

<file path=xl/styles.xml><?xml version="1.0" encoding="utf-8"?>
<styleSheet xmlns="http://schemas.openxmlformats.org/spreadsheetml/2006/main">
  <numFmts count="7">
    <numFmt numFmtId="164" formatCode="yyyy-mm-dd"/>
    <numFmt numFmtId="165" formatCode="ddd d mmm yy"/>
    <numFmt numFmtId="166" formatCode="$#,##0.00;($#,##0.00);-"/>
    <numFmt numFmtId="167" formatCode="$#,##0;($#,##0);-"/>
    <numFmt numFmtId="168" formatCode="0.0%"/>
    <numFmt numFmtId="169" formatCode="d mmm yy"/>
    <numFmt numFmtId="170" formatCode="0.0"/>
  </numFmts>
  <fonts count="11">
    <font>
      <name val="Calibri"/>
      <family val="2"/>
      <color theme="1"/>
      <sz val="11"/>
      <scheme val="minor"/>
    </font>
    <font>
      <name val="Arial"/>
      <b val="1"/>
      <sz val="14"/>
    </font>
    <font>
      <name val="Arial"/>
      <i val="1"/>
      <color rgb="00666666"/>
      <sz val="9"/>
    </font>
    <font>
      <name val="Arial"/>
      <b val="1"/>
      <color rgb="00FFFFFF"/>
      <sz val="10"/>
    </font>
    <font>
      <name val="Arial"/>
      <sz val="10"/>
    </font>
    <font>
      <name val="Arial"/>
      <color rgb="000000FF"/>
      <sz val="10"/>
    </font>
    <font>
      <name val="Arial"/>
      <b val="1"/>
      <sz val="10"/>
    </font>
    <font>
      <name val="Arial"/>
      <color rgb="00008000"/>
      <sz val="10"/>
    </font>
    <font>
      <name val="Arial"/>
      <b val="1"/>
      <sz val="11"/>
    </font>
    <font>
      <name val="Arial"/>
      <b val="1"/>
      <color rgb="00008000"/>
      <sz val="10"/>
    </font>
    <font>
      <name val="Arial"/>
      <color rgb="00FFFFFF"/>
      <sz val="10"/>
    </font>
  </fonts>
  <fills count="10">
    <fill>
      <patternFill/>
    </fill>
    <fill>
      <patternFill patternType="gray125"/>
    </fill>
    <fill>
      <patternFill patternType="solid">
        <fgColor rgb="00002060"/>
      </patternFill>
    </fill>
    <fill>
      <patternFill patternType="solid">
        <fgColor rgb="00FFFF00"/>
      </patternFill>
    </fill>
    <fill>
      <patternFill patternType="solid">
        <fgColor rgb="00F2F2F2"/>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F2CC"/>
      </patternFill>
    </fill>
    <fill>
      <patternFill patternType="solid">
        <fgColor rgb="00BFBFBF"/>
      </patternFill>
    </fill>
  </fills>
  <borders count="3">
    <border>
      <left/>
      <right/>
      <top/>
      <bottom/>
      <diagonal/>
    </border>
    <border>
      <top style="thin">
        <color rgb="007F7F7F"/>
      </top>
    </border>
    <border>
      <top style="thin">
        <color rgb="007F7F7F"/>
      </top>
      <bottom style="double">
        <color rgb="007F7F7F"/>
      </bottom>
    </border>
  </borders>
  <cellStyleXfs count="1">
    <xf numFmtId="0" fontId="0" fillId="0" borderId="0"/>
  </cellStyleXfs>
  <cellXfs count="80">
    <xf numFmtId="0" fontId="0" fillId="0" borderId="0" pivotButton="0" quotePrefix="0" xfId="0"/>
    <xf numFmtId="0" fontId="1" fillId="0" borderId="0" pivotButton="0" quotePrefix="0" xfId="0"/>
    <xf numFmtId="0" fontId="8" fillId="0" borderId="0" pivotButton="0" quotePrefix="0" xfId="0"/>
    <xf numFmtId="0" fontId="2" fillId="0" borderId="0" applyAlignment="1" pivotButton="0" quotePrefix="0" xfId="0">
      <alignment vertical="top" wrapText="1"/>
    </xf>
    <xf numFmtId="0" fontId="4"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3" fillId="2" borderId="0" pivotButton="0" quotePrefix="0" xfId="0"/>
    <xf numFmtId="0" fontId="10" fillId="2" borderId="0" applyAlignment="1" pivotButton="0" quotePrefix="0" xfId="0">
      <alignment horizontal="center" vertical="center"/>
    </xf>
    <xf numFmtId="0" fontId="6" fillId="4" borderId="0" pivotButton="0" quotePrefix="0" xfId="0"/>
    <xf numFmtId="0" fontId="4" fillId="4" borderId="0" pivotButton="0" quotePrefix="0" xfId="0"/>
    <xf numFmtId="1" fontId="5" fillId="8" borderId="0" applyAlignment="1" pivotButton="0" quotePrefix="0" xfId="0">
      <alignment horizontal="center" vertical="center"/>
    </xf>
    <xf numFmtId="0" fontId="0" fillId="4" borderId="0" pivotButton="0" quotePrefix="0" xfId="0"/>
    <xf numFmtId="0" fontId="2" fillId="4" borderId="0" applyAlignment="1" pivotButton="0" quotePrefix="0" xfId="0">
      <alignment vertical="top" wrapText="1"/>
    </xf>
    <xf numFmtId="0" fontId="6" fillId="5" borderId="0" pivotButton="0" quotePrefix="0" xfId="0"/>
    <xf numFmtId="167" fontId="9" fillId="5" borderId="0" pivotButton="0" quotePrefix="0" xfId="0"/>
    <xf numFmtId="167" fontId="6" fillId="5" borderId="0" pivotButton="0" quotePrefix="0" xfId="0"/>
    <xf numFmtId="0" fontId="0" fillId="5" borderId="0" pivotButton="0" quotePrefix="0" xfId="0"/>
    <xf numFmtId="0" fontId="2" fillId="5" borderId="0" applyAlignment="1" pivotButton="0" quotePrefix="0" xfId="0">
      <alignment vertical="top" wrapText="1"/>
    </xf>
    <xf numFmtId="0" fontId="0" fillId="2" borderId="0" pivotButton="0" quotePrefix="0" xfId="0"/>
    <xf numFmtId="0" fontId="4" fillId="0" borderId="0" pivotButton="0" quotePrefix="0" xfId="0"/>
    <xf numFmtId="167" fontId="4" fillId="0" borderId="0" pivotButton="0" quotePrefix="0" xfId="0"/>
    <xf numFmtId="167" fontId="5" fillId="8" borderId="0" pivotButton="0" quotePrefix="0" xfId="0"/>
    <xf numFmtId="167" fontId="6" fillId="5" borderId="1" pivotButton="0" quotePrefix="0" xfId="0"/>
    <xf numFmtId="0" fontId="6" fillId="0" borderId="0" pivotButton="0" quotePrefix="0" xfId="0"/>
    <xf numFmtId="167" fontId="6" fillId="4" borderId="1" pivotButton="0" quotePrefix="0" xfId="0"/>
    <xf numFmtId="0" fontId="6" fillId="9" borderId="0" pivotButton="0" quotePrefix="0" xfId="0"/>
    <xf numFmtId="167" fontId="6" fillId="9" borderId="2" pivotButton="0" quotePrefix="0" xfId="0"/>
    <xf numFmtId="0" fontId="0" fillId="9" borderId="0" pivotButton="0" quotePrefix="0" xfId="0"/>
    <xf numFmtId="0" fontId="2" fillId="9" borderId="0" applyAlignment="1" pivotButton="0" quotePrefix="0" xfId="0">
      <alignment vertical="top" wrapText="1"/>
    </xf>
    <xf numFmtId="0" fontId="2" fillId="4" borderId="0" pivotButton="0" quotePrefix="0" xfId="0"/>
    <xf numFmtId="167" fontId="6" fillId="4" borderId="0" pivotButton="0" quotePrefix="0" xfId="0"/>
    <xf numFmtId="170" fontId="4" fillId="0" borderId="0" pivotButton="0" quotePrefix="0" xfId="0"/>
    <xf numFmtId="0" fontId="2" fillId="0" borderId="0" pivotButton="0" quotePrefix="0" xfId="0"/>
    <xf numFmtId="0" fontId="4" fillId="0" borderId="0" applyAlignment="1" pivotButton="0" quotePrefix="0" xfId="0">
      <alignment vertical="top" wrapText="1"/>
    </xf>
    <xf numFmtId="165" fontId="5" fillId="0" borderId="0" pivotButton="0" quotePrefix="0" xfId="0"/>
    <xf numFmtId="166" fontId="4" fillId="0" borderId="0" pivotButton="0" quotePrefix="0" xfId="0"/>
    <xf numFmtId="0" fontId="5" fillId="0" borderId="0" pivotButton="0" quotePrefix="0" xfId="0"/>
    <xf numFmtId="167" fontId="5" fillId="0" borderId="0" pivotButton="0" quotePrefix="0" xfId="0"/>
    <xf numFmtId="168" fontId="5" fillId="3" borderId="0" pivotButton="0" quotePrefix="0" xfId="0"/>
    <xf numFmtId="168" fontId="4" fillId="0" borderId="0" pivotButton="0" quotePrefix="0" xfId="0"/>
    <xf numFmtId="167" fontId="5" fillId="3" borderId="0" pivotButton="0" quotePrefix="0" xfId="0"/>
    <xf numFmtId="0" fontId="5" fillId="3" borderId="0" pivotButton="0" quotePrefix="0" xfId="0"/>
    <xf numFmtId="165" fontId="4" fillId="0" borderId="0" pivotButton="0" quotePrefix="0" xfId="0"/>
    <xf numFmtId="0" fontId="3" fillId="2" borderId="0" applyAlignment="1" pivotButton="0" quotePrefix="0" xfId="0">
      <alignment vertical="top" wrapText="1"/>
    </xf>
    <xf numFmtId="165" fontId="7" fillId="0" borderId="0" pivotButton="0" quotePrefix="0" xfId="0"/>
    <xf numFmtId="167" fontId="7" fillId="0" borderId="0" pivotButton="0" quotePrefix="0" xfId="0"/>
    <xf numFmtId="169" fontId="5" fillId="0" borderId="0" pivotButton="0" quotePrefix="0" xfId="0"/>
    <xf numFmtId="166" fontId="5" fillId="0" borderId="0" pivotButton="0" quotePrefix="0" xfId="0"/>
    <xf numFmtId="1" fontId="4" fillId="0" borderId="0" pivotButton="0" quotePrefix="0" xfId="0"/>
    <xf numFmtId="169" fontId="5" fillId="3" borderId="0" pivotButton="0" quotePrefix="0" xfId="0"/>
    <xf numFmtId="166" fontId="6" fillId="5" borderId="0" pivotButton="0" quotePrefix="0" xfId="0"/>
    <xf numFmtId="0" fontId="7" fillId="6" borderId="0" pivotButton="0" quotePrefix="0" xfId="0"/>
    <xf numFmtId="0" fontId="7" fillId="6" borderId="0" applyAlignment="1" pivotButton="0" quotePrefix="0" xfId="0">
      <alignment vertical="top" wrapText="1"/>
    </xf>
    <xf numFmtId="169" fontId="7" fillId="6" borderId="0" pivotButton="0" quotePrefix="0" xfId="0"/>
    <xf numFmtId="166" fontId="7" fillId="6" borderId="0" pivotButton="0" quotePrefix="0" xfId="0"/>
    <xf numFmtId="0" fontId="6" fillId="6" borderId="0" pivotButton="0" quotePrefix="0" xfId="0"/>
    <xf numFmtId="165" fontId="9" fillId="6" borderId="0" pivotButton="0" quotePrefix="0" xfId="0"/>
    <xf numFmtId="0" fontId="0" fillId="6" borderId="0" pivotButton="0" quotePrefix="0" xfId="0"/>
    <xf numFmtId="0" fontId="2" fillId="6" borderId="0" applyAlignment="1" pivotButton="0" quotePrefix="0" xfId="0">
      <alignment vertical="top" wrapText="1"/>
    </xf>
    <xf numFmtId="0" fontId="7" fillId="0" borderId="0" pivotButton="0" quotePrefix="0" xfId="0"/>
    <xf numFmtId="0" fontId="7" fillId="0" borderId="0" applyAlignment="1" pivotButton="0" quotePrefix="0" xfId="0">
      <alignment vertical="top" wrapText="1"/>
    </xf>
    <xf numFmtId="169" fontId="7" fillId="0" borderId="0" pivotButton="0" quotePrefix="0" xfId="0"/>
    <xf numFmtId="166" fontId="7" fillId="0" borderId="0" pivotButton="0" quotePrefix="0" xfId="0"/>
    <xf numFmtId="165" fontId="9" fillId="0" borderId="0" pivotButton="0" quotePrefix="0" xfId="0"/>
    <xf numFmtId="0" fontId="7" fillId="7" borderId="0" pivotButton="0" quotePrefix="0" xfId="0"/>
    <xf numFmtId="0" fontId="7" fillId="7" borderId="0" applyAlignment="1" pivotButton="0" quotePrefix="0" xfId="0">
      <alignment vertical="top" wrapText="1"/>
    </xf>
    <xf numFmtId="169" fontId="7" fillId="7" borderId="0" pivotButton="0" quotePrefix="0" xfId="0"/>
    <xf numFmtId="166" fontId="7" fillId="7" borderId="0" pivotButton="0" quotePrefix="0" xfId="0"/>
    <xf numFmtId="0" fontId="6" fillId="7" borderId="0" pivotButton="0" quotePrefix="0" xfId="0"/>
    <xf numFmtId="165" fontId="9" fillId="7" borderId="0" pivotButton="0" quotePrefix="0" xfId="0"/>
    <xf numFmtId="0" fontId="0" fillId="7" borderId="0" pivotButton="0" quotePrefix="0" xfId="0"/>
    <xf numFmtId="0" fontId="2" fillId="7" borderId="0" applyAlignment="1" pivotButton="0" quotePrefix="0" xfId="0">
      <alignment vertical="top" wrapText="1"/>
    </xf>
    <xf numFmtId="169" fontId="7" fillId="3" borderId="0" pivotButton="0" quotePrefix="0" xfId="0"/>
    <xf numFmtId="1" fontId="5" fillId="0" borderId="0" pivotButton="0" quotePrefix="0" xfId="0"/>
    <xf numFmtId="166" fontId="6" fillId="4" borderId="0" pivotButton="0" quotePrefix="0" xfId="0"/>
    <xf numFmtId="166" fontId="6" fillId="0" borderId="0" pivotButton="0" quotePrefix="0" xfId="0"/>
    <xf numFmtId="166" fontId="6" fillId="6" borderId="0" pivotButton="0" quotePrefix="0" xfId="0"/>
    <xf numFmtId="165" fontId="5" fillId="6" borderId="0" pivotButton="0" quotePrefix="0" xfId="0"/>
    <xf numFmtId="166" fontId="6" fillId="7"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71"/>
  <sheetViews>
    <sheetView showGridLines="0" zoomScale="85" workbookViewId="0">
      <pane xSplit="1" ySplit="8" topLeftCell="B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64" customWidth="1" min="15" max="15"/>
  </cols>
  <sheetData>
    <row r="1">
      <c r="A1" s="1" t="inlineStr">
        <is>
          <t>Corporate Technology Services Pty Ltd</t>
        </is>
      </c>
    </row>
    <row r="2">
      <c r="A2" s="2" t="inlineStr">
        <is>
          <t>Weekly Cash Flow Forecast vs Actual - 28 September to 1 November 2026</t>
        </is>
      </c>
    </row>
    <row r="3" ht="42" customHeight="1">
      <c r="A3" s="3" t="inlineStr">
        <is>
          <t>How this works: the Forecast columns are formulas off the Receivables, Payables, Payroll and Assumptions tabs. Each week, put the actual movements in the yellow Actual column, type in the closing bank balance from CommBiz, and set 'Actuals entered' to 1. The next week then starts from the real bank balance and the difference row shows anything that's been missed.</t>
        </is>
      </c>
    </row>
    <row r="4"/>
    <row r="5">
      <c r="A5" s="4" t="inlineStr"/>
      <c r="B5" s="5" t="inlineStr">
        <is>
          <t>Week 1</t>
        </is>
      </c>
      <c r="D5" s="5" t="inlineStr">
        <is>
          <t>Week 2</t>
        </is>
      </c>
      <c r="F5" s="5" t="inlineStr">
        <is>
          <t>Week 3</t>
        </is>
      </c>
      <c r="H5" s="5" t="inlineStr">
        <is>
          <t>Week 4</t>
        </is>
      </c>
      <c r="J5" s="5" t="inlineStr">
        <is>
          <t>Week 5</t>
        </is>
      </c>
      <c r="L5" s="5" t="inlineStr">
        <is>
          <t>Total</t>
        </is>
      </c>
      <c r="N5" s="6" t="inlineStr">
        <is>
          <t>Variance</t>
        </is>
      </c>
      <c r="O5" s="7" t="inlineStr">
        <is>
          <t>Notes</t>
        </is>
      </c>
    </row>
    <row r="6">
      <c r="A6" s="4" t="inlineStr"/>
      <c r="B6" s="8" t="str">
        <f>TEXT(Assumptions!$B$44,"d mmm")&amp;" - "&amp;TEXT(Assumptions!$C$44,"d mmm")</f>
        <v>28 Sep - 7 Oct</v>
      </c>
      <c r="D6" s="8" t="str">
        <f>TEXT(Assumptions!$B$45,"d mmm")&amp;" - "&amp;TEXT(Assumptions!$C$45,"d mmm")</f>
        <v>8 Oct - 14 Oct</v>
      </c>
      <c r="F6" s="8" t="str">
        <f>TEXT(Assumptions!$B$46,"d mmm")&amp;" - "&amp;TEXT(Assumptions!$C$46,"d mmm")</f>
        <v>15 Oct - 21 Oct</v>
      </c>
      <c r="H6" s="8" t="str">
        <f>TEXT(Assumptions!$B$47,"d mmm")&amp;" - "&amp;TEXT(Assumptions!$C$47,"d mmm")</f>
        <v>22 Oct - 28 Oct</v>
      </c>
      <c r="J6" s="8" t="str">
        <f>TEXT(Assumptions!$B$48,"d mmm")&amp;" - "&amp;TEXT(Assumptions!$C$48,"d mmm")</f>
        <v>29 Oct - 4 Nov</v>
      </c>
      <c r="L6" s="4" t="inlineStr"/>
      <c r="M6" s="4" t="inlineStr"/>
      <c r="N6" s="8" t="inlineStr">
        <is>
          <t>(weeks with</t>
        </is>
      </c>
      <c r="O6" s="4" t="inlineStr"/>
    </row>
    <row r="7">
      <c r="A7" s="7" t="inlineStr">
        <is>
          <t>$ AUD (GST inclusive)</t>
        </is>
      </c>
      <c r="B7" s="5" t="inlineStr">
        <is>
          <t>Forecast</t>
        </is>
      </c>
      <c r="C7" s="5" t="inlineStr">
        <is>
          <t>Actual</t>
        </is>
      </c>
      <c r="D7" s="5" t="inlineStr">
        <is>
          <t>Forecast</t>
        </is>
      </c>
      <c r="E7" s="5" t="inlineStr">
        <is>
          <t>Actual</t>
        </is>
      </c>
      <c r="F7" s="5" t="inlineStr">
        <is>
          <t>Forecast</t>
        </is>
      </c>
      <c r="G7" s="5" t="inlineStr">
        <is>
          <t>Actual</t>
        </is>
      </c>
      <c r="H7" s="5" t="inlineStr">
        <is>
          <t>Forecast</t>
        </is>
      </c>
      <c r="I7" s="5" t="inlineStr">
        <is>
          <t>Actual</t>
        </is>
      </c>
      <c r="J7" s="5" t="inlineStr">
        <is>
          <t>Forecast</t>
        </is>
      </c>
      <c r="K7" s="5" t="inlineStr">
        <is>
          <t>Actual</t>
        </is>
      </c>
      <c r="L7" s="5" t="inlineStr">
        <is>
          <t>Forecast</t>
        </is>
      </c>
      <c r="M7" s="5" t="inlineStr">
        <is>
          <t>Actual</t>
        </is>
      </c>
      <c r="N7" s="8" t="inlineStr">
        <is>
          <t>actuals)</t>
        </is>
      </c>
      <c r="O7" s="4" t="inlineStr"/>
    </row>
    <row r="8">
      <c r="A8" s="9" t="inlineStr">
        <is>
          <t>Actuals entered for this week? (1 = yes)</t>
        </is>
      </c>
      <c r="B8" s="10" t="inlineStr"/>
      <c r="C8" s="11" t="n">
        <v>0</v>
      </c>
      <c r="D8" s="10" t="inlineStr"/>
      <c r="E8" s="11" t="n">
        <v>0</v>
      </c>
      <c r="F8" s="10" t="inlineStr"/>
      <c r="G8" s="11" t="n">
        <v>0</v>
      </c>
      <c r="H8" s="10" t="inlineStr"/>
      <c r="I8" s="11" t="n">
        <v>0</v>
      </c>
      <c r="J8" s="10" t="inlineStr"/>
      <c r="K8" s="11" t="n">
        <v>0</v>
      </c>
      <c r="L8" s="12" t="n"/>
      <c r="M8" s="12" t="n"/>
      <c r="N8" s="12" t="n"/>
      <c r="O8" s="13" t="n"/>
    </row>
    <row r="9"/>
    <row r="10">
      <c r="A10" s="14" t="inlineStr">
        <is>
          <t>OPENING BANK BALANCE</t>
        </is>
      </c>
      <c r="B10" s="15">
        <f>Assumptions!$B$6</f>
        <v>435155</v>
      </c>
      <c r="C10" s="16">
        <f>B10</f>
        <v>435155</v>
      </c>
      <c r="D10" s="16">
        <f>IF(C$8=1,C58,B57)</f>
        <v>274893.63</v>
      </c>
      <c r="E10" s="16">
        <f>D10</f>
        <v>274893.63</v>
      </c>
      <c r="F10" s="16">
        <f>IF(E$8=1,E58,D57)</f>
        <v>731075.62</v>
      </c>
      <c r="G10" s="16">
        <f>F10</f>
        <v>731075.62</v>
      </c>
      <c r="H10" s="16">
        <f>IF(G$8=1,G58,F57)</f>
        <v>666474.2266666667</v>
      </c>
      <c r="I10" s="16">
        <f>H10</f>
        <v>666474.2266666667</v>
      </c>
      <c r="J10" s="16">
        <f>IF(I$8=1,I58,H57)</f>
        <v>500476.1593333334</v>
      </c>
      <c r="K10" s="16">
        <f>J10</f>
        <v>500476.1593333334</v>
      </c>
      <c r="L10" s="16">
        <f>B10</f>
        <v>435155</v>
      </c>
      <c r="M10" s="16">
        <f>C10</f>
        <v>435155</v>
      </c>
      <c r="N10" s="17" t="n"/>
      <c r="O10" s="18" t="n"/>
    </row>
    <row r="11"/>
    <row r="12">
      <c r="A12" s="7" t="inlineStr">
        <is>
          <t>INCOME</t>
        </is>
      </c>
      <c r="B12" s="19" t="n"/>
      <c r="C12" s="19" t="n"/>
      <c r="D12" s="19" t="n"/>
      <c r="E12" s="19" t="n"/>
      <c r="F12" s="19" t="n"/>
      <c r="G12" s="19" t="n"/>
      <c r="H12" s="19" t="n"/>
      <c r="I12" s="19" t="n"/>
      <c r="J12" s="19" t="n"/>
      <c r="K12" s="19" t="n"/>
      <c r="L12" s="19" t="n"/>
      <c r="M12" s="19" t="n"/>
      <c r="N12" s="19" t="n"/>
      <c r="O12" s="19" t="n"/>
    </row>
    <row r="13">
      <c r="A13" s="20" t="inlineStr">
        <is>
          <t xml:space="preserve">   Trading income - customer receipts (invoices)</t>
        </is>
      </c>
      <c r="B13" s="21">
        <f>SUMIFS(Receivables!$F$5:$F$52,Receivables!$H$5:$H$52,"&gt;="&amp;Assumptions!$B$44,Receivables!$H$5:$H$52,"&lt;="&amp;Assumptions!$C$44)</f>
        <v>158974.55</v>
      </c>
      <c r="C13" s="22" t="n"/>
      <c r="D13" s="21">
        <f>SUMIFS(Receivables!$F$5:$F$52,Receivables!$H$5:$H$52,"&gt;="&amp;Assumptions!$B$45,Receivables!$H$5:$H$52,"&lt;="&amp;Assumptions!$C$45)</f>
        <v>489026.1</v>
      </c>
      <c r="E13" s="22" t="n"/>
      <c r="F13" s="21">
        <f>SUMIFS(Receivables!$F$5:$F$52,Receivables!$H$5:$H$52,"&gt;="&amp;Assumptions!$B$46,Receivables!$H$5:$H$52,"&lt;="&amp;Assumptions!$C$46)+Assumptions!$B$39/3</f>
        <v>90207.73666666666</v>
      </c>
      <c r="G13" s="22" t="n"/>
      <c r="H13" s="21">
        <f>SUMIFS(Receivables!$F$5:$F$52,Receivables!$H$5:$H$52,"&gt;="&amp;Assumptions!$B$47,Receivables!$H$5:$H$52,"&lt;="&amp;Assumptions!$C$47)+Assumptions!$B$39/3</f>
        <v>12626.466666666667</v>
      </c>
      <c r="I13" s="22" t="n"/>
      <c r="J13" s="21">
        <f>SUMIFS(Receivables!$F$5:$F$52,Receivables!$H$5:$H$52,"&gt;="&amp;Assumptions!$B$48,Receivables!$H$5:$H$52,"&lt;="&amp;Assumptions!$C$48)+Assumptions!$B$39/3</f>
        <v>29899.056666666667</v>
      </c>
      <c r="K13" s="22" t="n"/>
      <c r="L13" s="21">
        <f>SUM(B13,D13,F13,H13,J13)</f>
        <v>780733.9099999999</v>
      </c>
      <c r="M13" s="21">
        <f>SUM(C13,E13,G13,I13,K13)</f>
        <v>0</v>
      </c>
      <c r="N13" s="21">
        <f>(C13-B13)*C$8+(E13-D13)*E$8+(G13-F13)*G$8+(I13-H13)*I$8+(K13-J13)*K$8</f>
        <v>0</v>
      </c>
      <c r="O13" s="3" t="n"/>
    </row>
    <row r="14">
      <c r="A14" s="20" t="inlineStr">
        <is>
          <t xml:space="preserve">   Other income - interest received</t>
        </is>
      </c>
      <c r="B14" s="21">
        <f>0</f>
        <v>0</v>
      </c>
      <c r="C14" s="22" t="n"/>
      <c r="D14" s="21">
        <f>0</f>
        <v>0</v>
      </c>
      <c r="E14" s="22" t="n"/>
      <c r="F14" s="21">
        <f>0</f>
        <v>0</v>
      </c>
      <c r="G14" s="22" t="n"/>
      <c r="H14" s="21">
        <f>0</f>
        <v>0</v>
      </c>
      <c r="I14" s="22" t="n"/>
      <c r="J14" s="21">
        <f>Assumptions!$B$40</f>
        <v>600</v>
      </c>
      <c r="K14" s="22" t="n"/>
      <c r="L14" s="21">
        <f>SUM(B14,D14,F14,H14,J14)</f>
        <v>600</v>
      </c>
      <c r="M14" s="21">
        <f>SUM(C14,E14,G14,I14,K14)</f>
        <v>0</v>
      </c>
      <c r="N14" s="21">
        <f>(C14-B14)*C$8+(E14-D14)*E$8+(G14-F14)*G$8+(I14-H14)*I$8+(K14-J14)*K$8</f>
        <v>0</v>
      </c>
      <c r="O14" s="3" t="inlineStr">
        <is>
          <t>Savings interest, month end.</t>
        </is>
      </c>
    </row>
    <row r="15">
      <c r="A15" s="14" t="inlineStr">
        <is>
          <t>TOTAL INCOME</t>
        </is>
      </c>
      <c r="B15" s="23">
        <f>B13+B14</f>
        <v>158974.55</v>
      </c>
      <c r="C15" s="23">
        <f>C13+C14</f>
        <v>0</v>
      </c>
      <c r="D15" s="23">
        <f>D13+D14</f>
        <v>489026.1</v>
      </c>
      <c r="E15" s="23">
        <f>E13+E14</f>
        <v>0</v>
      </c>
      <c r="F15" s="23">
        <f>F13+F14</f>
        <v>90207.73666666666</v>
      </c>
      <c r="G15" s="23">
        <f>G13+G14</f>
        <v>0</v>
      </c>
      <c r="H15" s="23">
        <f>H13+H14</f>
        <v>12626.466666666667</v>
      </c>
      <c r="I15" s="23">
        <f>I13+I14</f>
        <v>0</v>
      </c>
      <c r="J15" s="23">
        <f>J13+J14</f>
        <v>30499.056666666667</v>
      </c>
      <c r="K15" s="23">
        <f>K13+K14</f>
        <v>0</v>
      </c>
      <c r="L15" s="23">
        <f>L13+L14</f>
        <v>781333.9099999999</v>
      </c>
      <c r="M15" s="23">
        <f>M13+M14</f>
        <v>0</v>
      </c>
      <c r="N15" s="23">
        <f>N13+N14</f>
        <v>0</v>
      </c>
      <c r="O15" s="17" t="n"/>
    </row>
    <row r="16"/>
    <row r="17">
      <c r="A17" s="7" t="inlineStr">
        <is>
          <t>OPERATING EXPENSES</t>
        </is>
      </c>
      <c r="B17" s="19" t="n"/>
      <c r="C17" s="19" t="n"/>
      <c r="D17" s="19" t="n"/>
      <c r="E17" s="19" t="n"/>
      <c r="F17" s="19" t="n"/>
      <c r="G17" s="19" t="n"/>
      <c r="H17" s="19" t="n"/>
      <c r="I17" s="19" t="n"/>
      <c r="J17" s="19" t="n"/>
      <c r="K17" s="19" t="n"/>
      <c r="L17" s="19" t="n"/>
      <c r="M17" s="19" t="n"/>
      <c r="N17" s="19" t="n"/>
      <c r="O17" s="19" t="n"/>
    </row>
    <row r="18">
      <c r="A18" s="24" t="inlineStr">
        <is>
          <t>Employment</t>
        </is>
      </c>
    </row>
    <row r="19">
      <c r="A19" s="20" t="inlineStr">
        <is>
          <t xml:space="preserve">   Salaries &amp; wages (net pay)</t>
        </is>
      </c>
      <c r="B19" s="21">
        <f>SUMIFS(Payroll!$E$5:$E$7,Payroll!$C$5:$C$7,"&gt;="&amp;Assumptions!$B$44,Payroll!$C$5:$C$7,"&lt;="&amp;Assumptions!$C$44)</f>
        <v>85248</v>
      </c>
      <c r="C19" s="22" t="n"/>
      <c r="D19" s="21">
        <f>SUMIFS(Payroll!$E$5:$E$7,Payroll!$C$5:$C$7,"&gt;="&amp;Assumptions!$B$45,Payroll!$C$5:$C$7,"&lt;="&amp;Assumptions!$C$45)</f>
        <v>0</v>
      </c>
      <c r="E19" s="22" t="n"/>
      <c r="F19" s="21">
        <f>SUMIFS(Payroll!$E$5:$E$7,Payroll!$C$5:$C$7,"&gt;="&amp;Assumptions!$B$46,Payroll!$C$5:$C$7,"&lt;="&amp;Assumptions!$C$46)</f>
        <v>85248</v>
      </c>
      <c r="G19" s="22" t="n"/>
      <c r="H19" s="21">
        <f>SUMIFS(Payroll!$E$5:$E$7,Payroll!$C$5:$C$7,"&gt;="&amp;Assumptions!$B$47,Payroll!$C$5:$C$7,"&lt;="&amp;Assumptions!$C$47)</f>
        <v>0</v>
      </c>
      <c r="I19" s="22" t="n"/>
      <c r="J19" s="21">
        <f>SUMIFS(Payroll!$E$5:$E$7,Payroll!$C$5:$C$7,"&gt;="&amp;Assumptions!$B$48,Payroll!$C$5:$C$7,"&lt;="&amp;Assumptions!$C$48)</f>
        <v>85248</v>
      </c>
      <c r="K19" s="22" t="n"/>
      <c r="L19" s="21">
        <f>SUM(B19,D19,F19,H19,J19)</f>
        <v>255744</v>
      </c>
      <c r="M19" s="21">
        <f>SUM(C19,E19,G19,I19,K19)</f>
        <v>0</v>
      </c>
      <c r="N19" s="21">
        <f>(C19-B19)*C$8+(E19-D19)*E$8+(G19-F19)*G$8+(I19-H19)*I$8+(K19-J19)*K$8</f>
        <v>0</v>
      </c>
      <c r="O19" s="3" t="inlineStr">
        <is>
          <t>Payroll tab - gross x net %. Pay runs Tue 6 Oct, Tue 20 Oct and Tue 3 Nov (ABA through CommBiz).</t>
        </is>
      </c>
    </row>
    <row r="20">
      <c r="A20" s="20" t="inlineStr">
        <is>
          <t xml:space="preserve">   Superannuation</t>
        </is>
      </c>
      <c r="B20" s="21">
        <f>SUMIFS(Payroll!$G$5:$G$7,Payroll!$C$5:$C$7,"&gt;="&amp;Assumptions!$B$44,Payroll!$C$5:$C$7,"&lt;="&amp;Assumptions!$C$44)</f>
        <v>13320</v>
      </c>
      <c r="C20" s="22" t="n"/>
      <c r="D20" s="21">
        <f>SUMIFS(Payroll!$G$5:$G$7,Payroll!$C$5:$C$7,"&gt;="&amp;Assumptions!$B$45,Payroll!$C$5:$C$7,"&lt;="&amp;Assumptions!$C$45)</f>
        <v>0</v>
      </c>
      <c r="E20" s="22" t="n"/>
      <c r="F20" s="21">
        <f>SUMIFS(Payroll!$G$5:$G$7,Payroll!$C$5:$C$7,"&gt;="&amp;Assumptions!$B$46,Payroll!$C$5:$C$7,"&lt;="&amp;Assumptions!$C$46)</f>
        <v>13320</v>
      </c>
      <c r="G20" s="22" t="n"/>
      <c r="H20" s="21">
        <f>SUMIFS(Payroll!$G$5:$G$7,Payroll!$C$5:$C$7,"&gt;="&amp;Assumptions!$B$47,Payroll!$C$5:$C$7,"&lt;="&amp;Assumptions!$C$47)</f>
        <v>0</v>
      </c>
      <c r="I20" s="22" t="n"/>
      <c r="J20" s="21">
        <f>SUMIFS(Payroll!$G$5:$G$7,Payroll!$C$5:$C$7,"&gt;="&amp;Assumptions!$B$48,Payroll!$C$5:$C$7,"&lt;="&amp;Assumptions!$C$48)</f>
        <v>13320</v>
      </c>
      <c r="K20" s="22" t="n"/>
      <c r="L20" s="21">
        <f>SUM(B20,D20,F20,H20,J20)</f>
        <v>39960</v>
      </c>
      <c r="M20" s="21">
        <f>SUM(C20,E20,G20,I20,K20)</f>
        <v>0</v>
      </c>
      <c r="N20" s="21">
        <f>(C20-B20)*C$8+(E20-D20)*E$8+(G20-F20)*G$8+(I20-H20)*I$8+(K20-J20)*K$8</f>
        <v>0</v>
      </c>
      <c r="O20" s="3" t="inlineStr">
        <is>
          <t>Gross x 12%. EH direct debits it in the pay run week.</t>
        </is>
      </c>
    </row>
    <row r="21">
      <c r="A21" s="20" t="inlineStr">
        <is>
          <t xml:space="preserve">   PAYG withholding - monthly IAS</t>
        </is>
      </c>
      <c r="B21" s="21">
        <f>0</f>
        <v>0</v>
      </c>
      <c r="C21" s="22" t="n"/>
      <c r="D21" s="21">
        <f>0</f>
        <v>0</v>
      </c>
      <c r="E21" s="22" t="n"/>
      <c r="F21" s="21">
        <f>0</f>
        <v>0</v>
      </c>
      <c r="G21" s="22" t="n"/>
      <c r="H21" s="21">
        <f>0</f>
        <v>0</v>
      </c>
      <c r="I21" s="22" t="n"/>
      <c r="J21" s="21">
        <f>0</f>
        <v>0</v>
      </c>
      <c r="K21" s="22" t="n"/>
      <c r="L21" s="21">
        <f>SUM(B21,D21,F21,H21,J21)</f>
        <v>0</v>
      </c>
      <c r="M21" s="21">
        <f>SUM(C21,E21,G21,I21,K21)</f>
        <v>0</v>
      </c>
      <c r="N21" s="21">
        <f>(C21-B21)*C$8+(E21-D21)*E$8+(G21-F21)*G$8+(I21-H21)*I$8+(K21-J21)*K$8</f>
        <v>0</v>
      </c>
      <c r="O21" s="3" t="inlineStr">
        <is>
          <t>Nothing in Oct - Jul and Aug were paid 21 Aug and 21 Sep, Sep goes on the Q1 BAS (see the BAS line).</t>
        </is>
      </c>
    </row>
    <row r="22">
      <c r="A22" s="20" t="inlineStr">
        <is>
          <t xml:space="preserve">   Payroll tax (NSW + other states)</t>
        </is>
      </c>
      <c r="B22" s="21">
        <f>IF(AND(Assumptions!$B$19&gt;=Assumptions!$B$44,Assumptions!$B$19&lt;=Assumptions!$C$44),Assumptions!$B$17+Assumptions!$B$18,0)</f>
        <v>8995</v>
      </c>
      <c r="C22" s="22" t="n"/>
      <c r="D22" s="21">
        <f>IF(AND(Assumptions!$B$19&gt;=Assumptions!$B$45,Assumptions!$B$19&lt;=Assumptions!$C$45),Assumptions!$B$17+Assumptions!$B$18,0)</f>
        <v>0</v>
      </c>
      <c r="E22" s="22" t="n"/>
      <c r="F22" s="21">
        <f>IF(AND(Assumptions!$B$19&gt;=Assumptions!$B$46,Assumptions!$B$19&lt;=Assumptions!$C$46),Assumptions!$B$17+Assumptions!$B$18,0)</f>
        <v>0</v>
      </c>
      <c r="G22" s="22" t="n"/>
      <c r="H22" s="21">
        <f>IF(AND(Assumptions!$B$19&gt;=Assumptions!$B$47,Assumptions!$B$19&lt;=Assumptions!$C$47),Assumptions!$B$17+Assumptions!$B$18,0)</f>
        <v>0</v>
      </c>
      <c r="I22" s="22" t="n"/>
      <c r="J22" s="21">
        <f>IF(AND(Assumptions!$B$19&gt;=Assumptions!$B$48,Assumptions!$B$19&lt;=Assumptions!$C$48),Assumptions!$B$17+Assumptions!$B$18,0)</f>
        <v>0</v>
      </c>
      <c r="K22" s="22" t="n"/>
      <c r="L22" s="21">
        <f>SUM(B22,D22,F22,H22,J22)</f>
        <v>8995</v>
      </c>
      <c r="M22" s="21">
        <f>SUM(C22,E22,G22,I22,K22)</f>
        <v>0</v>
      </c>
      <c r="N22" s="21">
        <f>(C22-B22)*C$8+(E22-D22)*E$8+(G22-F22)*G$8+(I22-H22)*I$8+(K22-J22)*K$8</f>
        <v>0</v>
      </c>
      <c r="O22" s="3" t="inlineStr">
        <is>
          <t>Sep wages, due 7 Oct. Aug numbers used until the Sep return is lodged ($6,295 NSW + $2,700 other states).</t>
        </is>
      </c>
    </row>
    <row r="23">
      <c r="A23" s="20" t="inlineStr">
        <is>
          <t xml:space="preserve">   Employee reimbursements (expense claims)</t>
        </is>
      </c>
      <c r="B23" s="21">
        <f>SUMIFS(Payroll!$H$5:$H$7,Payroll!$C$5:$C$7,"&gt;="&amp;Assumptions!$B$44,Payroll!$C$5:$C$7,"&lt;="&amp;Assumptions!$C$44)</f>
        <v>1000</v>
      </c>
      <c r="C23" s="22" t="n"/>
      <c r="D23" s="21">
        <f>SUMIFS(Payroll!$H$5:$H$7,Payroll!$C$5:$C$7,"&gt;="&amp;Assumptions!$B$45,Payroll!$C$5:$C$7,"&lt;="&amp;Assumptions!$C$45)</f>
        <v>0</v>
      </c>
      <c r="E23" s="22" t="n"/>
      <c r="F23" s="21">
        <f>SUMIFS(Payroll!$H$5:$H$7,Payroll!$C$5:$C$7,"&gt;="&amp;Assumptions!$B$46,Payroll!$C$5:$C$7,"&lt;="&amp;Assumptions!$C$46)</f>
        <v>1000</v>
      </c>
      <c r="G23" s="22" t="n"/>
      <c r="H23" s="21">
        <f>SUMIFS(Payroll!$H$5:$H$7,Payroll!$C$5:$C$7,"&gt;="&amp;Assumptions!$B$47,Payroll!$C$5:$C$7,"&lt;="&amp;Assumptions!$C$47)</f>
        <v>0</v>
      </c>
      <c r="I23" s="22" t="n"/>
      <c r="J23" s="21">
        <f>SUMIFS(Payroll!$H$5:$H$7,Payroll!$C$5:$C$7,"&gt;="&amp;Assumptions!$B$48,Payroll!$C$5:$C$7,"&lt;="&amp;Assumptions!$C$48)</f>
        <v>1000</v>
      </c>
      <c r="K23" s="22" t="n"/>
      <c r="L23" s="21">
        <f>SUM(B23,D23,F23,H23,J23)</f>
        <v>3000</v>
      </c>
      <c r="M23" s="21">
        <f>SUM(C23,E23,G23,I23,K23)</f>
        <v>0</v>
      </c>
      <c r="N23" s="21">
        <f>(C23-B23)*C$8+(E23-D23)*E$8+(G23-F23)*G$8+(I23-H23)*I$8+(K23-J23)*K$8</f>
        <v>0</v>
      </c>
      <c r="O23" s="3" t="n"/>
    </row>
    <row r="24">
      <c r="A24" s="9" t="inlineStr">
        <is>
          <t>Subtotal employment</t>
        </is>
      </c>
      <c r="B24" s="25">
        <f>B19+B20+B21+B22+B23</f>
        <v>108563</v>
      </c>
      <c r="C24" s="25">
        <f>C19+C20+C21+C22+C23</f>
        <v>0</v>
      </c>
      <c r="D24" s="25">
        <f>D19+D20+D21+D22+D23</f>
        <v>0</v>
      </c>
      <c r="E24" s="25">
        <f>E19+E20+E21+E22+E23</f>
        <v>0</v>
      </c>
      <c r="F24" s="25">
        <f>F19+F20+F21+F22+F23</f>
        <v>99568</v>
      </c>
      <c r="G24" s="25">
        <f>G19+G20+G21+G22+G23</f>
        <v>0</v>
      </c>
      <c r="H24" s="25">
        <f>H19+H20+H21+H22+H23</f>
        <v>0</v>
      </c>
      <c r="I24" s="25">
        <f>I19+I20+I21+I22+I23</f>
        <v>0</v>
      </c>
      <c r="J24" s="25">
        <f>J19+J20+J21+J22+J23</f>
        <v>99568</v>
      </c>
      <c r="K24" s="25">
        <f>K19+K20+K21+K22+K23</f>
        <v>0</v>
      </c>
      <c r="L24" s="25">
        <f>L19+L20+L21+L22+L23</f>
        <v>307699</v>
      </c>
      <c r="M24" s="25">
        <f>M19+M20+M21+M22+M23</f>
        <v>0</v>
      </c>
      <c r="N24" s="25">
        <f>N19+N20+N21+N22+N23</f>
        <v>0</v>
      </c>
      <c r="O24" s="12" t="n"/>
    </row>
    <row r="25"/>
    <row r="26">
      <c r="A26" s="24" t="inlineStr">
        <is>
          <t>Cost of sales (client jobs)</t>
        </is>
      </c>
    </row>
    <row r="27">
      <c r="A27" s="20" t="inlineStr">
        <is>
          <t xml:space="preserve">   Project equipment &amp; installation</t>
        </is>
      </c>
      <c r="B27" s="21">
        <f>SUMIFS(Payables!$D$19:$D$60,Payables!$G$19:$G$60,"&gt;="&amp;Assumptions!$B$44,Payables!$G$19:$G$60,"&lt;="&amp;Assumptions!$C$44,Payables!$E$19:$E$60,"&lt;&gt;Card",Payables!$F$19:$F$60,"Equipment purchases")+Assumptions!$B$29/5</f>
        <v>164871.48</v>
      </c>
      <c r="C27" s="22" t="n"/>
      <c r="D27" s="21">
        <f>SUMIFS(Payables!$D$19:$D$60,Payables!$G$19:$G$60,"&gt;="&amp;Assumptions!$B$45,Payables!$G$19:$G$60,"&lt;="&amp;Assumptions!$C$45,Payables!$E$19:$E$60,"&lt;&gt;Card",Payables!$F$19:$F$60,"Equipment purchases")+Assumptions!$B$29/5</f>
        <v>4000</v>
      </c>
      <c r="E27" s="22" t="n"/>
      <c r="F27" s="21">
        <f>SUMIFS(Payables!$D$19:$D$60,Payables!$G$19:$G$60,"&gt;="&amp;Assumptions!$B$46,Payables!$G$19:$G$60,"&lt;="&amp;Assumptions!$C$46,Payables!$E$19:$E$60,"&lt;&gt;Card",Payables!$F$19:$F$60,"Equipment purchases")+Assumptions!$B$29/5</f>
        <v>11103.26</v>
      </c>
      <c r="G27" s="22" t="n"/>
      <c r="H27" s="21">
        <f>SUMIFS(Payables!$D$19:$D$60,Payables!$G$19:$G$60,"&gt;="&amp;Assumptions!$B$47,Payables!$G$19:$G$60,"&lt;="&amp;Assumptions!$C$47,Payables!$E$19:$E$60,"&lt;&gt;Card",Payables!$F$19:$F$60,"Equipment purchases")+Assumptions!$B$29/5</f>
        <v>4000</v>
      </c>
      <c r="I27" s="22" t="n"/>
      <c r="J27" s="21">
        <f>SUMIFS(Payables!$D$19:$D$60,Payables!$G$19:$G$60,"&gt;="&amp;Assumptions!$B$48,Payables!$G$19:$G$60,"&lt;="&amp;Assumptions!$C$48,Payables!$E$19:$E$60,"&lt;&gt;Card",Payables!$F$19:$F$60,"Equipment purchases")+Assumptions!$B$29/5</f>
        <v>4000</v>
      </c>
      <c r="K27" s="22" t="n"/>
      <c r="L27" s="21">
        <f>SUM(B27,D27,F27,H27,J27)</f>
        <v>187974.74000000002</v>
      </c>
      <c r="M27" s="21">
        <f>SUM(C27,E27,G27,I27,K27)</f>
        <v>0</v>
      </c>
      <c r="N27" s="21">
        <f>(C27-B27)*C$8+(E27-D27)*E$8+(G27-F27)*G$8+(I27-H27)*I$8+(K27-J27)*K$8</f>
        <v>0</v>
      </c>
      <c r="O27" s="3" t="inlineStr">
        <is>
          <t>Payables tab - Complete AV materials $136,163 (this week, see the Complete AV tab), Fredon $24,708, Crestron $7,103 - plus the unbilled estimate. Complete AV labour $41,956 is held past the end of the forecast.</t>
        </is>
      </c>
    </row>
    <row r="28">
      <c r="A28" s="20" t="inlineStr">
        <is>
          <t xml:space="preserve">   Sub-contract labour</t>
        </is>
      </c>
      <c r="B28" s="21">
        <f>Assumptions!$B$27/5</f>
        <v>8000</v>
      </c>
      <c r="C28" s="22" t="n"/>
      <c r="D28" s="21">
        <f>Assumptions!$B$27/5</f>
        <v>8000</v>
      </c>
      <c r="E28" s="22" t="n"/>
      <c r="F28" s="21">
        <f>Assumptions!$B$27/5</f>
        <v>8000</v>
      </c>
      <c r="G28" s="22" t="n"/>
      <c r="H28" s="21">
        <f>Assumptions!$B$27/5</f>
        <v>8000</v>
      </c>
      <c r="I28" s="22" t="n"/>
      <c r="J28" s="21">
        <f>Assumptions!$B$27/5</f>
        <v>8000</v>
      </c>
      <c r="K28" s="22" t="n"/>
      <c r="L28" s="21">
        <f>SUM(B28,D28,F28,H28,J28)</f>
        <v>40000</v>
      </c>
      <c r="M28" s="21">
        <f>SUM(C28,E28,G28,I28,K28)</f>
        <v>0</v>
      </c>
      <c r="N28" s="21">
        <f>(C28-B28)*C$8+(E28-D28)*E$8+(G28-F28)*G$8+(I28-H28)*I$8+(K28-J28)*K$8</f>
        <v>0</v>
      </c>
      <c r="O28" s="3" t="inlineStr">
        <is>
          <t>Estimate (Sep was ~$39k), spread evenly.</t>
        </is>
      </c>
    </row>
    <row r="29">
      <c r="A29" s="20" t="inlineStr">
        <is>
          <t xml:space="preserve">   Equipment &amp; service hires</t>
        </is>
      </c>
      <c r="B29" s="21">
        <f>Assumptions!$B$28/5</f>
        <v>6000</v>
      </c>
      <c r="C29" s="22" t="n"/>
      <c r="D29" s="21">
        <f>Assumptions!$B$28/5</f>
        <v>6000</v>
      </c>
      <c r="E29" s="22" t="n"/>
      <c r="F29" s="21">
        <f>Assumptions!$B$28/5</f>
        <v>6000</v>
      </c>
      <c r="G29" s="22" t="n"/>
      <c r="H29" s="21">
        <f>Assumptions!$B$28/5</f>
        <v>6000</v>
      </c>
      <c r="I29" s="22" t="n"/>
      <c r="J29" s="21">
        <f>Assumptions!$B$28/5</f>
        <v>6000</v>
      </c>
      <c r="K29" s="22" t="n"/>
      <c r="L29" s="21">
        <f>SUM(B29,D29,F29,H29,J29)</f>
        <v>30000</v>
      </c>
      <c r="M29" s="21">
        <f>SUM(C29,E29,G29,I29,K29)</f>
        <v>0</v>
      </c>
      <c r="N29" s="21">
        <f>(C29-B29)*C$8+(E29-D29)*E$8+(G29-F29)*G$8+(I29-H29)*I$8+(K29-J29)*K$8</f>
        <v>0</v>
      </c>
      <c r="O29" s="3" t="inlineStr">
        <is>
          <t>Estimate (Sep was ~$29k), spread evenly.</t>
        </is>
      </c>
    </row>
    <row r="30">
      <c r="A30" s="20" t="inlineStr">
        <is>
          <t xml:space="preserve">   Subscriptions &amp; licences (client)</t>
        </is>
      </c>
      <c r="B30" s="21">
        <f>SUMIFS(Payables!$D$19:$D$60,Payables!$G$19:$G$60,"&gt;="&amp;Assumptions!$B$44,Payables!$G$19:$G$60,"&lt;="&amp;Assumptions!$C$44,Payables!$E$19:$E$60,"&lt;&gt;Card",Payables!$F$19:$F$60,"Client subscriptions")+Assumptions!$B$31/5</f>
        <v>9955.84</v>
      </c>
      <c r="C30" s="22" t="n"/>
      <c r="D30" s="21">
        <f>SUMIFS(Payables!$D$19:$D$60,Payables!$G$19:$G$60,"&gt;="&amp;Assumptions!$B$45,Payables!$G$19:$G$60,"&lt;="&amp;Assumptions!$C$45,Payables!$E$19:$E$60,"&lt;&gt;Card",Payables!$F$19:$F$60,"Client subscriptions")+Assumptions!$B$31/5</f>
        <v>2085</v>
      </c>
      <c r="E30" s="22" t="n"/>
      <c r="F30" s="21">
        <f>SUMIFS(Payables!$D$19:$D$60,Payables!$G$19:$G$60,"&gt;="&amp;Assumptions!$B$46,Payables!$G$19:$G$60,"&lt;="&amp;Assumptions!$C$46,Payables!$E$19:$E$60,"&lt;&gt;Card",Payables!$F$19:$F$60,"Client subscriptions")+Assumptions!$B$31/5</f>
        <v>600</v>
      </c>
      <c r="G30" s="22" t="n"/>
      <c r="H30" s="21">
        <f>SUMIFS(Payables!$D$19:$D$60,Payables!$G$19:$G$60,"&gt;="&amp;Assumptions!$B$47,Payables!$G$19:$G$60,"&lt;="&amp;Assumptions!$C$47,Payables!$E$19:$E$60,"&lt;&gt;Card",Payables!$F$19:$F$60,"Client subscriptions")+Assumptions!$B$31/5</f>
        <v>21585.43</v>
      </c>
      <c r="I30" s="22" t="n"/>
      <c r="J30" s="21">
        <f>SUMIFS(Payables!$D$19:$D$60,Payables!$G$19:$G$60,"&gt;="&amp;Assumptions!$B$48,Payables!$G$19:$G$60,"&lt;="&amp;Assumptions!$C$48,Payables!$E$19:$E$60,"&lt;&gt;Card",Payables!$F$19:$F$60,"Client subscriptions")+Assumptions!$B$31/5</f>
        <v>6328.8</v>
      </c>
      <c r="K30" s="22" t="n"/>
      <c r="L30" s="21">
        <f>SUM(B30,D30,F30,H30,J30)</f>
        <v>40555.07000000001</v>
      </c>
      <c r="M30" s="21">
        <f>SUM(C30,E30,G30,I30,K30)</f>
        <v>0</v>
      </c>
      <c r="N30" s="21">
        <f>(C30-B30)*C$8+(E30-D30)*E$8+(G30-F30)*G$8+(I30-H30)*I$8+(K30-J30)*K$8</f>
        <v>0</v>
      </c>
      <c r="O30" s="3" t="inlineStr">
        <is>
          <t>Payables tab (Appspace, Spacera, Eptura, LiveU) plus the unbilled estimate.</t>
        </is>
      </c>
    </row>
    <row r="31">
      <c r="A31" s="20" t="inlineStr">
        <is>
          <t xml:space="preserve">   Direct travel &amp; freight</t>
        </is>
      </c>
      <c r="B31" s="21">
        <f>SUMIFS(Payables!$D$19:$D$60,Payables!$G$19:$G$60,"&gt;="&amp;Assumptions!$B$44,Payables!$G$19:$G$60,"&lt;="&amp;Assumptions!$C$44,Payables!$E$19:$E$60,"&lt;&gt;Card",Payables!$F$19:$F$60,"Direct travel &amp; freight")+Assumptions!$B$30/5</f>
        <v>1400</v>
      </c>
      <c r="C31" s="22" t="n"/>
      <c r="D31" s="21">
        <f>SUMIFS(Payables!$D$19:$D$60,Payables!$G$19:$G$60,"&gt;="&amp;Assumptions!$B$45,Payables!$G$19:$G$60,"&lt;="&amp;Assumptions!$C$45,Payables!$E$19:$E$60,"&lt;&gt;Card",Payables!$F$19:$F$60,"Direct travel &amp; freight")+Assumptions!$B$30/5</f>
        <v>1400</v>
      </c>
      <c r="E31" s="22" t="n"/>
      <c r="F31" s="21">
        <f>SUMIFS(Payables!$D$19:$D$60,Payables!$G$19:$G$60,"&gt;="&amp;Assumptions!$B$46,Payables!$G$19:$G$60,"&lt;="&amp;Assumptions!$C$46,Payables!$E$19:$E$60,"&lt;&gt;Card",Payables!$F$19:$F$60,"Direct travel &amp; freight")+Assumptions!$B$30/5</f>
        <v>1400</v>
      </c>
      <c r="G31" s="22" t="n"/>
      <c r="H31" s="21">
        <f>SUMIFS(Payables!$D$19:$D$60,Payables!$G$19:$G$60,"&gt;="&amp;Assumptions!$B$47,Payables!$G$19:$G$60,"&lt;="&amp;Assumptions!$C$47,Payables!$E$19:$E$60,"&lt;&gt;Card",Payables!$F$19:$F$60,"Direct travel &amp; freight")+Assumptions!$B$30/5</f>
        <v>1400</v>
      </c>
      <c r="I31" s="22" t="n"/>
      <c r="J31" s="21">
        <f>SUMIFS(Payables!$D$19:$D$60,Payables!$G$19:$G$60,"&gt;="&amp;Assumptions!$B$48,Payables!$G$19:$G$60,"&lt;="&amp;Assumptions!$C$48,Payables!$E$19:$E$60,"&lt;&gt;Card",Payables!$F$19:$F$60,"Direct travel &amp; freight")+Assumptions!$B$30/5</f>
        <v>1400</v>
      </c>
      <c r="K31" s="22" t="n"/>
      <c r="L31" s="21">
        <f>SUM(B31,D31,F31,H31,J31)</f>
        <v>7000</v>
      </c>
      <c r="M31" s="21">
        <f>SUM(C31,E31,G31,I31,K31)</f>
        <v>0</v>
      </c>
      <c r="N31" s="21">
        <f>(C31-B31)*C$8+(E31-D31)*E$8+(G31-F31)*G$8+(I31-H31)*I$8+(K31-J31)*K$8</f>
        <v>0</v>
      </c>
      <c r="O31" s="3" t="inlineStr">
        <is>
          <t>Estimate and  Payables tab (non-card)  - Flights and accommodation on the card sit in the credit card line.</t>
        </is>
      </c>
    </row>
    <row r="32">
      <c r="A32" s="9" t="inlineStr">
        <is>
          <t>Subtotal cost of sales</t>
        </is>
      </c>
      <c r="B32" s="25">
        <f>B27+B28+B29+B30+B31</f>
        <v>190227.32</v>
      </c>
      <c r="C32" s="25">
        <f>C27+C28+C29+C30+C31</f>
        <v>0</v>
      </c>
      <c r="D32" s="25">
        <f>D27+D28+D29+D30+D31</f>
        <v>21485</v>
      </c>
      <c r="E32" s="25">
        <f>E27+E28+E29+E30+E31</f>
        <v>0</v>
      </c>
      <c r="F32" s="25">
        <f>F27+F28+F29+F30+F31</f>
        <v>27103.260000000002</v>
      </c>
      <c r="G32" s="25">
        <f>G27+G28+G29+G30+G31</f>
        <v>0</v>
      </c>
      <c r="H32" s="25">
        <f>H27+H28+H29+H30+H31</f>
        <v>40985.43</v>
      </c>
      <c r="I32" s="25">
        <f>I27+I28+I29+I30+I31</f>
        <v>0</v>
      </c>
      <c r="J32" s="25">
        <f>J27+J28+J29+J30+J31</f>
        <v>25728.8</v>
      </c>
      <c r="K32" s="25">
        <f>K27+K28+K29+K30+K31</f>
        <v>0</v>
      </c>
      <c r="L32" s="25">
        <f>L27+L28+L29+L30+L31</f>
        <v>305529.81000000006</v>
      </c>
      <c r="M32" s="25">
        <f>M27+M28+M29+M30+M31</f>
        <v>0</v>
      </c>
      <c r="N32" s="25">
        <f>N27+N28+N29+N30+N31</f>
        <v>0</v>
      </c>
      <c r="O32" s="12" t="n"/>
    </row>
    <row r="33"/>
    <row r="34">
      <c r="A34" s="24" t="inlineStr">
        <is>
          <t>Overheads</t>
        </is>
      </c>
    </row>
    <row r="35">
      <c r="A35" s="20" t="inlineStr">
        <is>
          <t xml:space="preserve">   Rent &amp; outgoings</t>
        </is>
      </c>
      <c r="B35" s="21">
        <f>SUMIFS(Payables!$D$19:$D$60,Payables!$G$19:$G$60,"&gt;="&amp;Assumptions!$B$44,Payables!$G$19:$G$60,"&lt;="&amp;Assumptions!$C$44,Payables!$E$19:$E$60,"&lt;&gt;Card",Payables!$F$19:$F$60,"Rent")</f>
        <v>0</v>
      </c>
      <c r="C35" s="22" t="n"/>
      <c r="D35" s="21">
        <f>SUMIFS(Payables!$D$19:$D$60,Payables!$G$19:$G$60,"&gt;="&amp;Assumptions!$B$45,Payables!$G$19:$G$60,"&lt;="&amp;Assumptions!$C$45,Payables!$E$19:$E$60,"&lt;&gt;Card",Payables!$F$19:$F$60,"Rent")</f>
        <v>0</v>
      </c>
      <c r="E35" s="22" t="n"/>
      <c r="F35" s="21">
        <f>SUMIFS(Payables!$D$19:$D$60,Payables!$G$19:$G$60,"&gt;="&amp;Assumptions!$B$46,Payables!$G$19:$G$60,"&lt;="&amp;Assumptions!$C$46,Payables!$E$19:$E$60,"&lt;&gt;Card",Payables!$F$19:$F$60,"Rent")</f>
        <v>0</v>
      </c>
      <c r="G35" s="22" t="n"/>
      <c r="H35" s="21">
        <f>SUMIFS(Payables!$D$19:$D$60,Payables!$G$19:$G$60,"&gt;="&amp;Assumptions!$B$47,Payables!$G$19:$G$60,"&lt;="&amp;Assumptions!$C$47,Payables!$E$19:$E$60,"&lt;&gt;Card",Payables!$F$19:$F$60,"Rent")</f>
        <v>29280.72</v>
      </c>
      <c r="I35" s="22" t="n"/>
      <c r="J35" s="21">
        <f>SUMIFS(Payables!$D$19:$D$60,Payables!$G$19:$G$60,"&gt;="&amp;Assumptions!$B$48,Payables!$G$19:$G$60,"&lt;="&amp;Assumptions!$C$48,Payables!$E$19:$E$60,"&lt;&gt;Card",Payables!$F$19:$F$60,"Rent")</f>
        <v>0</v>
      </c>
      <c r="K35" s="22" t="n"/>
      <c r="L35" s="21">
        <f>SUM(B35,D35,F35,H35,J35)</f>
        <v>29280.72</v>
      </c>
      <c r="M35" s="21">
        <f>SUM(C35,E35,G35,I35,K35)</f>
        <v>0</v>
      </c>
      <c r="N35" s="21">
        <f>(C35-B35)*C$8+(E35-D35)*E$8+(G35-F35)*G$8+(I35-H35)*I$8+(K35-J35)*K$8</f>
        <v>0</v>
      </c>
      <c r="O35" s="3" t="inlineStr">
        <is>
          <t>Investa Sep rent $29,281 due 22 Oct. Oct rent falls in Nov.</t>
        </is>
      </c>
    </row>
    <row r="36">
      <c r="A36" s="20" t="inlineStr">
        <is>
          <t xml:space="preserve">   IT network service &amp; support</t>
        </is>
      </c>
      <c r="B36" s="21">
        <f>SUMIFS(Payables!$D$19:$D$60,Payables!$G$19:$G$60,"&gt;="&amp;Assumptions!$B$44,Payables!$G$19:$G$60,"&lt;="&amp;Assumptions!$C$44,Payables!$E$19:$E$60,"&lt;&gt;Card",Payables!$F$19:$F$60,"IT support")</f>
        <v>0</v>
      </c>
      <c r="C36" s="22" t="n"/>
      <c r="D36" s="21">
        <f>SUMIFS(Payables!$D$19:$D$60,Payables!$G$19:$G$60,"&gt;="&amp;Assumptions!$B$45,Payables!$G$19:$G$60,"&lt;="&amp;Assumptions!$C$45,Payables!$E$19:$E$60,"&lt;&gt;Card",Payables!$F$19:$F$60,"IT support")</f>
        <v>0</v>
      </c>
      <c r="E36" s="22" t="n"/>
      <c r="F36" s="21">
        <f>SUMIFS(Payables!$D$19:$D$60,Payables!$G$19:$G$60,"&gt;="&amp;Assumptions!$B$46,Payables!$G$19:$G$60,"&lt;="&amp;Assumptions!$C$46,Payables!$E$19:$E$60,"&lt;&gt;Card",Payables!$F$19:$F$60,"IT support")</f>
        <v>14466.27</v>
      </c>
      <c r="G36" s="22" t="n"/>
      <c r="H36" s="21">
        <f>SUMIFS(Payables!$D$19:$D$60,Payables!$G$19:$G$60,"&gt;="&amp;Assumptions!$B$47,Payables!$G$19:$G$60,"&lt;="&amp;Assumptions!$C$47,Payables!$E$19:$E$60,"&lt;&gt;Card",Payables!$F$19:$F$60,"IT support")</f>
        <v>0</v>
      </c>
      <c r="I36" s="22" t="n"/>
      <c r="J36" s="21">
        <f>SUMIFS(Payables!$D$19:$D$60,Payables!$G$19:$G$60,"&gt;="&amp;Assumptions!$B$48,Payables!$G$19:$G$60,"&lt;="&amp;Assumptions!$C$48,Payables!$E$19:$E$60,"&lt;&gt;Card",Payables!$F$19:$F$60,"IT support")</f>
        <v>0</v>
      </c>
      <c r="K36" s="22" t="n"/>
      <c r="L36" s="21">
        <f>SUM(B36,D36,F36,H36,J36)</f>
        <v>14466.27</v>
      </c>
      <c r="M36" s="21">
        <f>SUM(C36,E36,G36,I36,K36)</f>
        <v>0</v>
      </c>
      <c r="N36" s="21">
        <f>(C36-B36)*C$8+(E36-D36)*E$8+(G36-F36)*G$8+(I36-H36)*I$8+(K36-J36)*K$8</f>
        <v>0</v>
      </c>
      <c r="O36" s="3" t="inlineStr">
        <is>
          <t>First Focus CORE + Azure, DD around 16 Oct.</t>
        </is>
      </c>
    </row>
    <row r="37">
      <c r="A37" s="20" t="inlineStr">
        <is>
          <t xml:space="preserve">   Advertising &amp; marketing</t>
        </is>
      </c>
      <c r="B37" s="21">
        <f>SUMIFS(Payables!$D$19:$D$60,Payables!$G$19:$G$60,"&gt;="&amp;Assumptions!$B$44,Payables!$G$19:$G$60,"&lt;="&amp;Assumptions!$C$44,Payables!$E$19:$E$60,"&lt;&gt;Card",Payables!$F$19:$F$60,"Advertising")</f>
        <v>6600</v>
      </c>
      <c r="C37" s="22" t="n"/>
      <c r="D37" s="21">
        <f>SUMIFS(Payables!$D$19:$D$60,Payables!$G$19:$G$60,"&gt;="&amp;Assumptions!$B$45,Payables!$G$19:$G$60,"&lt;="&amp;Assumptions!$C$45,Payables!$E$19:$E$60,"&lt;&gt;Card",Payables!$F$19:$F$60,"Advertising")</f>
        <v>0</v>
      </c>
      <c r="E37" s="22" t="n"/>
      <c r="F37" s="21">
        <f>SUMIFS(Payables!$D$19:$D$60,Payables!$G$19:$G$60,"&gt;="&amp;Assumptions!$B$46,Payables!$G$19:$G$60,"&lt;="&amp;Assumptions!$C$46,Payables!$E$19:$E$60,"&lt;&gt;Card",Payables!$F$19:$F$60,"Advertising")</f>
        <v>4675</v>
      </c>
      <c r="G37" s="22" t="n"/>
      <c r="H37" s="21">
        <f>SUMIFS(Payables!$D$19:$D$60,Payables!$G$19:$G$60,"&gt;="&amp;Assumptions!$B$47,Payables!$G$19:$G$60,"&lt;="&amp;Assumptions!$C$47,Payables!$E$19:$E$60,"&lt;&gt;Card",Payables!$F$19:$F$60,"Advertising")</f>
        <v>0</v>
      </c>
      <c r="I37" s="22" t="n"/>
      <c r="J37" s="21">
        <f>SUMIFS(Payables!$D$19:$D$60,Payables!$G$19:$G$60,"&gt;="&amp;Assumptions!$B$48,Payables!$G$19:$G$60,"&lt;="&amp;Assumptions!$C$48,Payables!$E$19:$E$60,"&lt;&gt;Card",Payables!$F$19:$F$60,"Advertising")</f>
        <v>0</v>
      </c>
      <c r="K37" s="22" t="n"/>
      <c r="L37" s="21">
        <f>SUM(B37,D37,F37,H37,J37)</f>
        <v>11275</v>
      </c>
      <c r="M37" s="21">
        <f>SUM(C37,E37,G37,I37,K37)</f>
        <v>0</v>
      </c>
      <c r="N37" s="21">
        <f>(C37-B37)*C$8+(E37-D37)*E$8+(G37-F37)*G$8+(I37-H37)*I$8+(K37-J37)*K$8</f>
        <v>0</v>
      </c>
      <c r="O37" s="3" t="inlineStr">
        <is>
          <t>RJW website balance $6,600 (check with DL first) and RJW digital marketing $4,675.</t>
        </is>
      </c>
    </row>
    <row r="38">
      <c r="A38" s="20" t="inlineStr">
        <is>
          <t xml:space="preserve">   Accounting, legal &amp; advisory</t>
        </is>
      </c>
      <c r="B38" s="21">
        <f>SUMIFS(Payables!$D$19:$D$60,Payables!$G$19:$G$60,"&gt;="&amp;Assumptions!$B$44,Payables!$G$19:$G$60,"&lt;="&amp;Assumptions!$C$44,Payables!$E$19:$E$60,"&lt;&gt;Card",Payables!$F$19:$F$60,"Professional fees")+Assumptions!$B$33/5</f>
        <v>6410</v>
      </c>
      <c r="C38" s="22" t="n"/>
      <c r="D38" s="21">
        <f>SUMIFS(Payables!$D$19:$D$60,Payables!$G$19:$G$60,"&gt;="&amp;Assumptions!$B$45,Payables!$G$19:$G$60,"&lt;="&amp;Assumptions!$C$45,Payables!$E$19:$E$60,"&lt;&gt;Card",Payables!$F$19:$F$60,"Professional fees")+Assumptions!$B$33/5</f>
        <v>800</v>
      </c>
      <c r="E38" s="22" t="n"/>
      <c r="F38" s="21">
        <f>SUMIFS(Payables!$D$19:$D$60,Payables!$G$19:$G$60,"&gt;="&amp;Assumptions!$B$46,Payables!$G$19:$G$60,"&lt;="&amp;Assumptions!$C$46,Payables!$E$19:$E$60,"&lt;&gt;Card",Payables!$F$19:$F$60,"Professional fees")+Assumptions!$B$33/5</f>
        <v>800</v>
      </c>
      <c r="G38" s="22" t="n"/>
      <c r="H38" s="21">
        <f>SUMIFS(Payables!$D$19:$D$60,Payables!$G$19:$G$60,"&gt;="&amp;Assumptions!$B$47,Payables!$G$19:$G$60,"&lt;="&amp;Assumptions!$C$47,Payables!$E$19:$E$60,"&lt;&gt;Card",Payables!$F$19:$F$60,"Professional fees")+Assumptions!$B$33/5</f>
        <v>800</v>
      </c>
      <c r="I38" s="22" t="n"/>
      <c r="J38" s="21">
        <f>SUMIFS(Payables!$D$19:$D$60,Payables!$G$19:$G$60,"&gt;="&amp;Assumptions!$B$48,Payables!$G$19:$G$60,"&lt;="&amp;Assumptions!$C$48,Payables!$E$19:$E$60,"&lt;&gt;Card",Payables!$F$19:$F$60,"Professional fees")+Assumptions!$B$33/5</f>
        <v>800</v>
      </c>
      <c r="K38" s="22" t="n"/>
      <c r="L38" s="21">
        <f>SUM(B38,D38,F38,H38,J38)</f>
        <v>9610</v>
      </c>
      <c r="M38" s="21">
        <f>SUM(C38,E38,G38,I38,K38)</f>
        <v>0</v>
      </c>
      <c r="N38" s="21">
        <f>(C38-B38)*C$8+(E38-D38)*E$8+(G38-F38)*G$8+(I38-H38)*I$8+(K38-J38)*K$8</f>
        <v>0</v>
      </c>
      <c r="O38" s="3" t="inlineStr">
        <is>
          <t>8020 Advisors retainer and Employsure, plus the estimate for accounting / legal.</t>
        </is>
      </c>
    </row>
    <row r="39">
      <c r="A39" s="20" t="inlineStr">
        <is>
          <t xml:space="preserve">   Dues &amp; subscriptions</t>
        </is>
      </c>
      <c r="B39" s="21">
        <f>SUMIFS(Payables!$D$19:$D$60,Payables!$G$19:$G$60,"&gt;="&amp;Assumptions!$B$44,Payables!$G$19:$G$60,"&lt;="&amp;Assumptions!$C$44,Payables!$E$19:$E$60,"&lt;&gt;Card",Payables!$F$19:$F$60,"Dues &amp; subscriptions")</f>
        <v>0</v>
      </c>
      <c r="C39" s="22" t="n"/>
      <c r="D39" s="21">
        <f>SUMIFS(Payables!$D$19:$D$60,Payables!$G$19:$G$60,"&gt;="&amp;Assumptions!$B$45,Payables!$G$19:$G$60,"&lt;="&amp;Assumptions!$C$45,Payables!$E$19:$E$60,"&lt;&gt;Card",Payables!$F$19:$F$60,"Dues &amp; subscriptions")</f>
        <v>2310</v>
      </c>
      <c r="E39" s="22" t="n"/>
      <c r="F39" s="21">
        <f>SUMIFS(Payables!$D$19:$D$60,Payables!$G$19:$G$60,"&gt;="&amp;Assumptions!$B$46,Payables!$G$19:$G$60,"&lt;="&amp;Assumptions!$C$46,Payables!$E$19:$E$60,"&lt;&gt;Card",Payables!$F$19:$F$60,"Dues &amp; subscriptions")</f>
        <v>0</v>
      </c>
      <c r="G39" s="22" t="n"/>
      <c r="H39" s="21">
        <f>SUMIFS(Payables!$D$19:$D$60,Payables!$G$19:$G$60,"&gt;="&amp;Assumptions!$B$47,Payables!$G$19:$G$60,"&lt;="&amp;Assumptions!$C$47,Payables!$E$19:$E$60,"&lt;&gt;Card",Payables!$F$19:$F$60,"Dues &amp; subscriptions")</f>
        <v>0</v>
      </c>
      <c r="I39" s="22" t="n"/>
      <c r="J39" s="21">
        <f>SUMIFS(Payables!$D$19:$D$60,Payables!$G$19:$G$60,"&gt;="&amp;Assumptions!$B$48,Payables!$G$19:$G$60,"&lt;="&amp;Assumptions!$C$48,Payables!$E$19:$E$60,"&lt;&gt;Card",Payables!$F$19:$F$60,"Dues &amp; subscriptions")</f>
        <v>0</v>
      </c>
      <c r="K39" s="22" t="n"/>
      <c r="L39" s="21">
        <f>SUM(B39,D39,F39,H39,J39)</f>
        <v>2310</v>
      </c>
      <c r="M39" s="21">
        <f>SUM(C39,E39,G39,I39,K39)</f>
        <v>0</v>
      </c>
      <c r="N39" s="21">
        <f>(C39-B39)*C$8+(E39-D39)*E$8+(G39-F39)*G$8+(I39-H39)*I$8+(K39-J39)*K$8</f>
        <v>0</v>
      </c>
      <c r="O39" s="3" t="inlineStr">
        <is>
          <t>Non-card only (CEO Institute quarterly). Card subscriptions are in the credit card line.</t>
        </is>
      </c>
    </row>
    <row r="40">
      <c r="A40" s="20" t="inlineStr">
        <is>
          <t xml:space="preserve">   Telephone &amp; internet</t>
        </is>
      </c>
      <c r="B40" s="21">
        <f>SUMIFS(Payables!$D$19:$D$60,Payables!$G$19:$G$60,"&gt;="&amp;Assumptions!$B$44,Payables!$G$19:$G$60,"&lt;="&amp;Assumptions!$C$44,Payables!$E$19:$E$60,"&lt;&gt;Card",Payables!$F$19:$F$60,"Telephone &amp; internet")</f>
        <v>0</v>
      </c>
      <c r="C40" s="22" t="n"/>
      <c r="D40" s="21">
        <f>SUMIFS(Payables!$D$19:$D$60,Payables!$G$19:$G$60,"&gt;="&amp;Assumptions!$B$45,Payables!$G$19:$G$60,"&lt;="&amp;Assumptions!$C$45,Payables!$E$19:$E$60,"&lt;&gt;Card",Payables!$F$19:$F$60,"Telephone &amp; internet")</f>
        <v>804.11</v>
      </c>
      <c r="E40" s="22" t="n"/>
      <c r="F40" s="21">
        <f>SUMIFS(Payables!$D$19:$D$60,Payables!$G$19:$G$60,"&gt;="&amp;Assumptions!$B$46,Payables!$G$19:$G$60,"&lt;="&amp;Assumptions!$C$46,Payables!$E$19:$E$60,"&lt;&gt;Card",Payables!$F$19:$F$60,"Telephone &amp; internet")</f>
        <v>0</v>
      </c>
      <c r="G40" s="22" t="n"/>
      <c r="H40" s="21">
        <f>SUMIFS(Payables!$D$19:$D$60,Payables!$G$19:$G$60,"&gt;="&amp;Assumptions!$B$47,Payables!$G$19:$G$60,"&lt;="&amp;Assumptions!$C$47,Payables!$E$19:$E$60,"&lt;&gt;Card",Payables!$F$19:$F$60,"Telephone &amp; internet")</f>
        <v>0</v>
      </c>
      <c r="I40" s="22" t="n"/>
      <c r="J40" s="21">
        <f>SUMIFS(Payables!$D$19:$D$60,Payables!$G$19:$G$60,"&gt;="&amp;Assumptions!$B$48,Payables!$G$19:$G$60,"&lt;="&amp;Assumptions!$C$48,Payables!$E$19:$E$60,"&lt;&gt;Card",Payables!$F$19:$F$60,"Telephone &amp; internet")</f>
        <v>130</v>
      </c>
      <c r="K40" s="22" t="n"/>
      <c r="L40" s="21">
        <f>SUM(B40,D40,F40,H40,J40)</f>
        <v>934.11</v>
      </c>
      <c r="M40" s="21">
        <f>SUM(C40,E40,G40,I40,K40)</f>
        <v>0</v>
      </c>
      <c r="N40" s="21">
        <f>(C40-B40)*C$8+(E40-D40)*E$8+(G40-F40)*G$8+(I40-H40)*I$8+(K40-J40)*K$8</f>
        <v>0</v>
      </c>
      <c r="O40" s="3" t="inlineStr">
        <is>
          <t>Optus mobiles BPAY, Telstra Nighthawk. Optus internet is on the card.</t>
        </is>
      </c>
    </row>
    <row r="41">
      <c r="A41" s="20" t="inlineStr">
        <is>
          <t xml:space="preserve">   Recruitment</t>
        </is>
      </c>
      <c r="B41" s="21">
        <f>SUMIFS(Payables!$D$19:$D$60,Payables!$G$19:$G$60,"&gt;="&amp;Assumptions!$B$44,Payables!$G$19:$G$60,"&lt;="&amp;Assumptions!$C$44,Payables!$E$19:$E$60,"&lt;&gt;Card",Payables!$F$19:$F$60,"Recruitment")+Assumptions!$B$32/5</f>
        <v>1000</v>
      </c>
      <c r="C41" s="22" t="n"/>
      <c r="D41" s="21">
        <f>SUMIFS(Payables!$D$19:$D$60,Payables!$G$19:$G$60,"&gt;="&amp;Assumptions!$B$45,Payables!$G$19:$G$60,"&lt;="&amp;Assumptions!$C$45,Payables!$E$19:$E$60,"&lt;&gt;Card",Payables!$F$19:$F$60,"Recruitment")+Assumptions!$B$32/5</f>
        <v>1000</v>
      </c>
      <c r="E41" s="22" t="n"/>
      <c r="F41" s="21">
        <f>SUMIFS(Payables!$D$19:$D$60,Payables!$G$19:$G$60,"&gt;="&amp;Assumptions!$B$46,Payables!$G$19:$G$60,"&lt;="&amp;Assumptions!$C$46,Payables!$E$19:$E$60,"&lt;&gt;Card",Payables!$F$19:$F$60,"Recruitment")+Assumptions!$B$32/5</f>
        <v>1000</v>
      </c>
      <c r="G41" s="22" t="n"/>
      <c r="H41" s="21">
        <f>SUMIFS(Payables!$D$19:$D$60,Payables!$G$19:$G$60,"&gt;="&amp;Assumptions!$B$47,Payables!$G$19:$G$60,"&lt;="&amp;Assumptions!$C$47,Payables!$E$19:$E$60,"&lt;&gt;Card",Payables!$F$19:$F$60,"Recruitment")+Assumptions!$B$32/5</f>
        <v>1000</v>
      </c>
      <c r="I41" s="22" t="n"/>
      <c r="J41" s="21">
        <f>SUMIFS(Payables!$D$19:$D$60,Payables!$G$19:$G$60,"&gt;="&amp;Assumptions!$B$48,Payables!$G$19:$G$60,"&lt;="&amp;Assumptions!$C$48,Payables!$E$19:$E$60,"&lt;&gt;Card",Payables!$F$19:$F$60,"Recruitment")+Assumptions!$B$32/5</f>
        <v>1000</v>
      </c>
      <c r="K41" s="22" t="n"/>
      <c r="L41" s="21">
        <f>SUM(B41,D41,F41,H41,J41)</f>
        <v>5000</v>
      </c>
      <c r="M41" s="21">
        <f>SUM(C41,E41,G41,I41,K41)</f>
        <v>0</v>
      </c>
      <c r="N41" s="21">
        <f>(C41-B41)*C$8+(E41-D41)*E$8+(G41-F41)*G$8+(I41-H41)*I$8+(K41-J41)*K$8</f>
        <v>0</v>
      </c>
      <c r="O41" s="3" t="inlineStr">
        <is>
          <t>Estimate. Seek ads go on the card.</t>
        </is>
      </c>
    </row>
    <row r="42">
      <c r="A42" s="20" t="inlineStr">
        <is>
          <t xml:space="preserve">   Insurance</t>
        </is>
      </c>
      <c r="B42" s="21">
        <f>Assumptions!$B$34/5</f>
        <v>600</v>
      </c>
      <c r="C42" s="22" t="n"/>
      <c r="D42" s="21">
        <f>Assumptions!$B$34/5</f>
        <v>600</v>
      </c>
      <c r="E42" s="22" t="n"/>
      <c r="F42" s="21">
        <f>Assumptions!$B$34/5</f>
        <v>600</v>
      </c>
      <c r="G42" s="22" t="n"/>
      <c r="H42" s="21">
        <f>Assumptions!$B$34/5</f>
        <v>600</v>
      </c>
      <c r="I42" s="22" t="n"/>
      <c r="J42" s="21">
        <f>Assumptions!$B$34/5</f>
        <v>600</v>
      </c>
      <c r="K42" s="22" t="n"/>
      <c r="L42" s="21">
        <f>SUM(B42,D42,F42,H42,J42)</f>
        <v>3000</v>
      </c>
      <c r="M42" s="21">
        <f>SUM(C42,E42,G42,I42,K42)</f>
        <v>0</v>
      </c>
      <c r="N42" s="21">
        <f>(C42-B42)*C$8+(E42-D42)*E$8+(G42-F42)*G$8+(I42-H42)*I$8+(K42-J42)*K$8</f>
        <v>0</v>
      </c>
      <c r="O42" s="3" t="inlineStr">
        <is>
          <t>Estimate, ~$2.5k a month.</t>
        </is>
      </c>
    </row>
    <row r="43">
      <c r="A43" s="20" t="inlineStr">
        <is>
          <t xml:space="preserve">   Office, printing &amp; amenities</t>
        </is>
      </c>
      <c r="B43" s="21">
        <f>SUMIFS(Payables!$D$19:$D$60,Payables!$G$19:$G$60,"&gt;="&amp;Assumptions!$B$44,Payables!$G$19:$G$60,"&lt;="&amp;Assumptions!$C$44,Payables!$E$19:$E$60,"&lt;&gt;Card",Payables!$F$19:$F$60,"Office")+Assumptions!$B$35/5</f>
        <v>635.6</v>
      </c>
      <c r="C43" s="22" t="n"/>
      <c r="D43" s="21">
        <f>SUMIFS(Payables!$D$19:$D$60,Payables!$G$19:$G$60,"&gt;="&amp;Assumptions!$B$45,Payables!$G$19:$G$60,"&lt;="&amp;Assumptions!$C$45,Payables!$E$19:$E$60,"&lt;&gt;Card",Payables!$F$19:$F$60,"Office")+Assumptions!$B$35/5</f>
        <v>645</v>
      </c>
      <c r="E43" s="22" t="n"/>
      <c r="F43" s="21">
        <f>SUMIFS(Payables!$D$19:$D$60,Payables!$G$19:$G$60,"&gt;="&amp;Assumptions!$B$46,Payables!$G$19:$G$60,"&lt;="&amp;Assumptions!$C$46,Payables!$E$19:$E$60,"&lt;&gt;Card",Payables!$F$19:$F$60,"Office")+Assumptions!$B$35/5</f>
        <v>400</v>
      </c>
      <c r="G43" s="22" t="n"/>
      <c r="H43" s="21">
        <f>SUMIFS(Payables!$D$19:$D$60,Payables!$G$19:$G$60,"&gt;="&amp;Assumptions!$B$47,Payables!$G$19:$G$60,"&lt;="&amp;Assumptions!$C$47,Payables!$E$19:$E$60,"&lt;&gt;Card",Payables!$F$19:$F$60,"Office")+Assumptions!$B$35/5</f>
        <v>400</v>
      </c>
      <c r="I43" s="22" t="n"/>
      <c r="J43" s="21">
        <f>SUMIFS(Payables!$D$19:$D$60,Payables!$G$19:$G$60,"&gt;="&amp;Assumptions!$B$48,Payables!$G$19:$G$60,"&lt;="&amp;Assumptions!$C$48,Payables!$E$19:$E$60,"&lt;&gt;Card",Payables!$F$19:$F$60,"Office")+Assumptions!$B$35/5</f>
        <v>400</v>
      </c>
      <c r="K43" s="22" t="n"/>
      <c r="L43" s="21">
        <f>SUM(B43,D43,F43,H43,J43)</f>
        <v>2480.6</v>
      </c>
      <c r="M43" s="21">
        <f>SUM(C43,E43,G43,I43,K43)</f>
        <v>0</v>
      </c>
      <c r="N43" s="21">
        <f>(C43-B43)*C$8+(E43-D43)*E$8+(G43-F43)*G$8+(I43-H43)*I$8+(K43-J43)*K$8</f>
        <v>0</v>
      </c>
      <c r="O43" s="3" t="inlineStr">
        <is>
          <t>Ricoh printing DD, Posh plants, plus the estimate.</t>
        </is>
      </c>
    </row>
    <row r="44">
      <c r="A44" s="20" t="inlineStr">
        <is>
          <t xml:space="preserve">   Electricity</t>
        </is>
      </c>
      <c r="B44" s="21">
        <f>SUMIFS(Payables!$D$19:$D$60,Payables!$G$19:$G$60,"&gt;="&amp;Assumptions!$B$44,Payables!$G$19:$G$60,"&lt;="&amp;Assumptions!$C$44,Payables!$E$19:$E$60,"&lt;&gt;Card",Payables!$F$19:$F$60,"Electricity")</f>
        <v>0</v>
      </c>
      <c r="C44" s="22" t="n"/>
      <c r="D44" s="21">
        <f>SUMIFS(Payables!$D$19:$D$60,Payables!$G$19:$G$60,"&gt;="&amp;Assumptions!$B$45,Payables!$G$19:$G$60,"&lt;="&amp;Assumptions!$C$45,Payables!$E$19:$E$60,"&lt;&gt;Card",Payables!$F$19:$F$60,"Electricity")</f>
        <v>0</v>
      </c>
      <c r="E44" s="22" t="n"/>
      <c r="F44" s="21">
        <f>SUMIFS(Payables!$D$19:$D$60,Payables!$G$19:$G$60,"&gt;="&amp;Assumptions!$B$46,Payables!$G$19:$G$60,"&lt;="&amp;Assumptions!$C$46,Payables!$E$19:$E$60,"&lt;&gt;Card",Payables!$F$19:$F$60,"Electricity")</f>
        <v>0</v>
      </c>
      <c r="G44" s="22" t="n"/>
      <c r="H44" s="21">
        <f>SUMIFS(Payables!$D$19:$D$60,Payables!$G$19:$G$60,"&gt;="&amp;Assumptions!$B$47,Payables!$G$19:$G$60,"&lt;="&amp;Assumptions!$C$47,Payables!$E$19:$E$60,"&lt;&gt;Card",Payables!$F$19:$F$60,"Electricity")</f>
        <v>0</v>
      </c>
      <c r="I44" s="22" t="n"/>
      <c r="J44" s="21">
        <f>SUMIFS(Payables!$D$19:$D$60,Payables!$G$19:$G$60,"&gt;="&amp;Assumptions!$B$48,Payables!$G$19:$G$60,"&lt;="&amp;Assumptions!$C$48,Payables!$E$19:$E$60,"&lt;&gt;Card",Payables!$F$19:$F$60,"Electricity")</f>
        <v>0</v>
      </c>
      <c r="K44" s="22" t="n"/>
      <c r="L44" s="21">
        <f>SUM(B44,D44,F44,H44,J44)</f>
        <v>0</v>
      </c>
      <c r="M44" s="21">
        <f>SUM(C44,E44,G44,I44,K44)</f>
        <v>0</v>
      </c>
      <c r="N44" s="21">
        <f>(C44-B44)*C$8+(E44-D44)*E$8+(G44-F44)*G$8+(I44-H44)*I$8+(K44-J44)*K$8</f>
        <v>0</v>
      </c>
      <c r="O44" s="3" t="inlineStr">
        <is>
          <t>Energy Australia DDs the PL card so it shows in the credit card line, not here.</t>
        </is>
      </c>
    </row>
    <row r="45">
      <c r="A45" s="20" t="inlineStr">
        <is>
          <t xml:space="preserve">   Bank &amp; merchant fees</t>
        </is>
      </c>
      <c r="B45" s="21">
        <f>Assumptions!$B$36/5</f>
        <v>200</v>
      </c>
      <c r="C45" s="22" t="n"/>
      <c r="D45" s="21">
        <f>Assumptions!$B$36/5</f>
        <v>200</v>
      </c>
      <c r="E45" s="22" t="n"/>
      <c r="F45" s="21">
        <f>Assumptions!$B$36/5</f>
        <v>200</v>
      </c>
      <c r="G45" s="22" t="n"/>
      <c r="H45" s="21">
        <f>Assumptions!$B$36/5</f>
        <v>200</v>
      </c>
      <c r="I45" s="22" t="n"/>
      <c r="J45" s="21">
        <f>Assumptions!$B$36/5</f>
        <v>200</v>
      </c>
      <c r="K45" s="22" t="n"/>
      <c r="L45" s="21">
        <f>SUM(B45,D45,F45,H45,J45)</f>
        <v>1000</v>
      </c>
      <c r="M45" s="21">
        <f>SUM(C45,E45,G45,I45,K45)</f>
        <v>0</v>
      </c>
      <c r="N45" s="21">
        <f>(C45-B45)*C$8+(E45-D45)*E$8+(G45-F45)*G$8+(I45-H45)*I$8+(K45-J45)*K$8</f>
        <v>0</v>
      </c>
      <c r="O45" s="3" t="inlineStr">
        <is>
          <t>Estimate - bank charges and Stripe.</t>
        </is>
      </c>
    </row>
    <row r="46">
      <c r="A46" s="20" t="inlineStr">
        <is>
          <t xml:space="preserve">   Credit card settlements (card spend, all categories)</t>
        </is>
      </c>
      <c r="B46" s="21">
        <f>Assumptions!$B$37/5</f>
        <v>5000</v>
      </c>
      <c r="C46" s="22" t="n"/>
      <c r="D46" s="21">
        <f>Assumptions!$B$37/5</f>
        <v>5000</v>
      </c>
      <c r="E46" s="22" t="n"/>
      <c r="F46" s="21">
        <f>Assumptions!$B$37/5</f>
        <v>5000</v>
      </c>
      <c r="G46" s="22" t="n"/>
      <c r="H46" s="21">
        <f>Assumptions!$B$37/5</f>
        <v>5000</v>
      </c>
      <c r="I46" s="22" t="n"/>
      <c r="J46" s="21">
        <f>Assumptions!$B$37/5</f>
        <v>5000</v>
      </c>
      <c r="K46" s="22" t="n"/>
      <c r="L46" s="21">
        <f>SUM(B46,D46,F46,H46,J46)</f>
        <v>25000</v>
      </c>
      <c r="M46" s="21">
        <f>SUM(C46,E46,G46,I46,K46)</f>
        <v>0</v>
      </c>
      <c r="N46" s="21">
        <f>(C46-B46)*C$8+(E46-D46)*E$8+(G46-F46)*G$8+(I46-H46)*I$8+(K46-J46)*K$8</f>
        <v>0</v>
      </c>
      <c r="O46" s="3" t="inlineStr">
        <is>
          <t>~$25k a month transferred to the PL and DL cards. Covers every Card row on the Payables tab (subscriptions, travel, electricity, Seek, Goget, EH).</t>
        </is>
      </c>
    </row>
    <row r="47">
      <c r="A47" s="20" t="inlineStr">
        <is>
          <t xml:space="preserve">   Other expenses</t>
        </is>
      </c>
      <c r="B47" s="21">
        <f>SUMIFS(Payables!$D$19:$D$60,Payables!$G$19:$G$60,"&gt;="&amp;Assumptions!$B$44,Payables!$G$19:$G$60,"&lt;="&amp;Assumptions!$C$44,Payables!$E$19:$E$60,"&lt;&gt;Card",Payables!$F$19:$F$60,"Other")</f>
        <v>0</v>
      </c>
      <c r="C47" s="22" t="n"/>
      <c r="D47" s="21">
        <f>SUMIFS(Payables!$D$19:$D$60,Payables!$G$19:$G$60,"&gt;="&amp;Assumptions!$B$45,Payables!$G$19:$G$60,"&lt;="&amp;Assumptions!$C$45,Payables!$E$19:$E$60,"&lt;&gt;Card",Payables!$F$19:$F$60,"Other")</f>
        <v>0</v>
      </c>
      <c r="E47" s="22" t="n"/>
      <c r="F47" s="21">
        <f>SUMIFS(Payables!$D$19:$D$60,Payables!$G$19:$G$60,"&gt;="&amp;Assumptions!$B$46,Payables!$G$19:$G$60,"&lt;="&amp;Assumptions!$C$46,Payables!$E$19:$E$60,"&lt;&gt;Card",Payables!$F$19:$F$60,"Other")</f>
        <v>996.6</v>
      </c>
      <c r="G47" s="22" t="n"/>
      <c r="H47" s="21">
        <f>SUMIFS(Payables!$D$19:$D$60,Payables!$G$19:$G$60,"&gt;="&amp;Assumptions!$B$47,Payables!$G$19:$G$60,"&lt;="&amp;Assumptions!$C$47,Payables!$E$19:$E$60,"&lt;&gt;Card",Payables!$F$19:$F$60,"Other")</f>
        <v>0</v>
      </c>
      <c r="I47" s="22" t="n"/>
      <c r="J47" s="21">
        <f>SUMIFS(Payables!$D$19:$D$60,Payables!$G$19:$G$60,"&gt;="&amp;Assumptions!$B$48,Payables!$G$19:$G$60,"&lt;="&amp;Assumptions!$C$48,Payables!$E$19:$E$60,"&lt;&gt;Card",Payables!$F$19:$F$60,"Other")</f>
        <v>0</v>
      </c>
      <c r="K47" s="22" t="n"/>
      <c r="L47" s="21">
        <f>SUM(B47,D47,F47,H47,J47)</f>
        <v>996.6</v>
      </c>
      <c r="M47" s="21">
        <f>SUM(C47,E47,G47,I47,K47)</f>
        <v>0</v>
      </c>
      <c r="N47" s="21">
        <f>(C47-B47)*C$8+(E47-D47)*E$8+(G47-F47)*G$8+(I47-H47)*I$8+(K47-J47)*K$8</f>
        <v>0</v>
      </c>
      <c r="O47" s="3" t="inlineStr">
        <is>
          <t>Persona Health - on hold until GC confirms.</t>
        </is>
      </c>
    </row>
    <row r="48">
      <c r="A48" s="9" t="inlineStr">
        <is>
          <t>Subtotal overheads</t>
        </is>
      </c>
      <c r="B48" s="25">
        <f>B35+B36+B37+B38+B39+B40+B41+B42+B43+B44+B45+B46+B47</f>
        <v>20445.6</v>
      </c>
      <c r="C48" s="25">
        <f>C35+C36+C37+C38+C39+C40+C41+C42+C43+C44+C45+C46+C47</f>
        <v>0</v>
      </c>
      <c r="D48" s="25">
        <f>D35+D36+D37+D38+D39+D40+D41+D42+D43+D44+D45+D46+D47</f>
        <v>11359.11</v>
      </c>
      <c r="E48" s="25">
        <f>E35+E36+E37+E38+E39+E40+E41+E42+E43+E44+E45+E46+E47</f>
        <v>0</v>
      </c>
      <c r="F48" s="25">
        <f>F35+F36+F37+F38+F39+F40+F41+F42+F43+F44+F45+F46+F47</f>
        <v>28137.87</v>
      </c>
      <c r="G48" s="25">
        <f>G35+G36+G37+G38+G39+G40+G41+G42+G43+G44+G45+G46+G47</f>
        <v>0</v>
      </c>
      <c r="H48" s="25">
        <f>H35+H36+H37+H38+H39+H40+H41+H42+H43+H44+H45+H46+H47</f>
        <v>37280.72</v>
      </c>
      <c r="I48" s="25">
        <f>I35+I36+I37+I38+I39+I40+I41+I42+I43+I44+I45+I46+I47</f>
        <v>0</v>
      </c>
      <c r="J48" s="25">
        <f>J35+J36+J37+J38+J39+J40+J41+J42+J43+J44+J45+J46+J47</f>
        <v>8130</v>
      </c>
      <c r="K48" s="25">
        <f>K35+K36+K37+K38+K39+K40+K41+K42+K43+K44+K45+K46+K47</f>
        <v>0</v>
      </c>
      <c r="L48" s="25">
        <f>L35+L36+L37+L38+L39+L40+L41+L42+L43+L44+L45+L46+L47</f>
        <v>105353.30000000002</v>
      </c>
      <c r="M48" s="25">
        <f>M35+M36+M37+M38+M39+M40+M41+M42+M43+M44+M45+M46+M47</f>
        <v>0</v>
      </c>
      <c r="N48" s="25">
        <f>N35+N36+N37+N38+N39+N40+N41+N42+N43+N44+N45+N46+N47</f>
        <v>0</v>
      </c>
      <c r="O48" s="12" t="n"/>
    </row>
    <row r="49"/>
    <row r="50">
      <c r="A50" s="24" t="inlineStr">
        <is>
          <t>Tax</t>
        </is>
      </c>
    </row>
    <row r="51">
      <c r="A51" s="20" t="inlineStr">
        <is>
          <t xml:space="preserve">   BAS - GST, PAYG withholding &amp; instalment (Q1)</t>
        </is>
      </c>
      <c r="B51" s="21">
        <f>IF(AND(Assumptions!$B$25&gt;=Assumptions!$B$44,Assumptions!$B$25&lt;=Assumptions!$C$44),Assumptions!$B$21*(Assumptions!$B$22+Assumptions!$B$23+Assumptions!$B$24),0)</f>
        <v>0</v>
      </c>
      <c r="C51" s="22" t="n"/>
      <c r="D51" s="21">
        <f>IF(AND(Assumptions!$B$25&gt;=Assumptions!$B$45,Assumptions!$B$25&lt;=Assumptions!$C$45),Assumptions!$B$21*(Assumptions!$B$22+Assumptions!$B$23+Assumptions!$B$24),0)</f>
        <v>0</v>
      </c>
      <c r="E51" s="22" t="n"/>
      <c r="F51" s="21">
        <f>IF(AND(Assumptions!$B$25&gt;=Assumptions!$B$46,Assumptions!$B$25&lt;=Assumptions!$C$46),Assumptions!$B$21*(Assumptions!$B$22+Assumptions!$B$23+Assumptions!$B$24),0)</f>
        <v>0</v>
      </c>
      <c r="G51" s="22" t="n"/>
      <c r="H51" s="21">
        <f>IF(AND(Assumptions!$B$25&gt;=Assumptions!$B$47,Assumptions!$B$25&lt;=Assumptions!$C$47),Assumptions!$B$21*(Assumptions!$B$22+Assumptions!$B$23+Assumptions!$B$24),0)</f>
        <v>100358.38399999999</v>
      </c>
      <c r="I51" s="22" t="n"/>
      <c r="J51" s="21">
        <f>IF(AND(Assumptions!$B$25&gt;=Assumptions!$B$48,Assumptions!$B$25&lt;=Assumptions!$C$48),Assumptions!$B$21*(Assumptions!$B$22+Assumptions!$B$23+Assumptions!$B$24),0)</f>
        <v>0</v>
      </c>
      <c r="K51" s="22" t="n"/>
      <c r="L51" s="21">
        <f>SUM(B51,D51,F51,H51,J51)</f>
        <v>100358.38399999999</v>
      </c>
      <c r="M51" s="21">
        <f>SUM(C51,E51,G51,I51,K51)</f>
        <v>0</v>
      </c>
      <c r="N51" s="21">
        <f>(C51-B51)*C$8+(E51-D51)*E$8+(G51-F51)*G$8+(I51-H51)*I$8+(K51-J51)*K$8</f>
        <v>0</v>
      </c>
      <c r="O51" s="3" t="str">
        <f>"Q1 BAS est. "&amp;TEXT(Assumptions!$B$22+Assumptions!$B$23+Assumptions!$B$24,"$#,##0")&amp;" (Sep PAYG "&amp;TEXT(Assumptions!$B$22,"$#,##0")&amp;" + GST est "&amp;TEXT(Assumptions!$B$23,"$#,##0")&amp;" + instalment "&amp;TEXT(Assumptions!$B$24,"$#,##0")&amp;"), due "&amp;TEXT(Assumptions!$B$25,"d mmm")&amp;". Toggle on Assumptions = "&amp;Assumptions!$B$21&amp;" (1 = in the forecast)."</f>
        <v>Q1 BAS est. $100,358 (Sep PAYG $50,358 + GST est $50,000 + instalment $0,), due 28 Oct. Toggle on Assumptions = 1 (1 = in the forecast).</v>
      </c>
    </row>
    <row r="52">
      <c r="A52" s="9" t="inlineStr">
        <is>
          <t>Subtotal tax</t>
        </is>
      </c>
      <c r="B52" s="25">
        <f>B51</f>
        <v>0</v>
      </c>
      <c r="C52" s="25">
        <f>C51</f>
        <v>0</v>
      </c>
      <c r="D52" s="25">
        <f>D51</f>
        <v>0</v>
      </c>
      <c r="E52" s="25">
        <f>E51</f>
        <v>0</v>
      </c>
      <c r="F52" s="25">
        <f>F51</f>
        <v>0</v>
      </c>
      <c r="G52" s="25">
        <f>G51</f>
        <v>0</v>
      </c>
      <c r="H52" s="25">
        <f>H51</f>
        <v>100358.38399999999</v>
      </c>
      <c r="I52" s="25">
        <f>I51</f>
        <v>0</v>
      </c>
      <c r="J52" s="25">
        <f>J51</f>
        <v>0</v>
      </c>
      <c r="K52" s="25">
        <f>K51</f>
        <v>0</v>
      </c>
      <c r="L52" s="25">
        <f>L51</f>
        <v>100358.38399999999</v>
      </c>
      <c r="M52" s="25">
        <f>M51</f>
        <v>0</v>
      </c>
      <c r="N52" s="25">
        <f>N51</f>
        <v>0</v>
      </c>
      <c r="O52" s="12" t="n"/>
    </row>
    <row r="53"/>
    <row r="54">
      <c r="A54" s="14" t="inlineStr">
        <is>
          <t>TOTAL OPERATING EXPENSES</t>
        </is>
      </c>
      <c r="B54" s="23">
        <f>B24+B32+B48+B52</f>
        <v>319235.92</v>
      </c>
      <c r="C54" s="23">
        <f>C24+C32+C48+C52</f>
        <v>0</v>
      </c>
      <c r="D54" s="23">
        <f>D24+D32+D48+D52</f>
        <v>32844.11</v>
      </c>
      <c r="E54" s="23">
        <f>E24+E32+E48+E52</f>
        <v>0</v>
      </c>
      <c r="F54" s="23">
        <f>F24+F32+F48+F52</f>
        <v>154809.13</v>
      </c>
      <c r="G54" s="23">
        <f>G24+G32+G48+G52</f>
        <v>0</v>
      </c>
      <c r="H54" s="23">
        <f>H24+H32+H48+H52</f>
        <v>178624.53399999999</v>
      </c>
      <c r="I54" s="23">
        <f>I24+I32+I48+I52</f>
        <v>0</v>
      </c>
      <c r="J54" s="23">
        <f>J24+J32+J48+J52</f>
        <v>133426.8</v>
      </c>
      <c r="K54" s="23">
        <f>K24+K32+K48+K52</f>
        <v>0</v>
      </c>
      <c r="L54" s="23">
        <f>L24+L32+L48+L52</f>
        <v>818940.4940000001</v>
      </c>
      <c r="M54" s="23">
        <f>M24+M32+M48+M52</f>
        <v>0</v>
      </c>
      <c r="N54" s="23">
        <f>N24+N32+N48+N52</f>
        <v>0</v>
      </c>
      <c r="O54" s="17" t="n"/>
    </row>
    <row r="55"/>
    <row r="56">
      <c r="A56" s="14" t="inlineStr">
        <is>
          <t>NET CASH FLOW</t>
        </is>
      </c>
      <c r="B56" s="23">
        <f>B15-B54</f>
        <v>-160261.37</v>
      </c>
      <c r="C56" s="23">
        <f>C15-C54</f>
        <v>0</v>
      </c>
      <c r="D56" s="23">
        <f>D15-D54</f>
        <v>456181.99</v>
      </c>
      <c r="E56" s="23">
        <f>E15-E54</f>
        <v>0</v>
      </c>
      <c r="F56" s="23">
        <f>F15-F54</f>
        <v>-64601.39333333334</v>
      </c>
      <c r="G56" s="23">
        <f>G15-G54</f>
        <v>0</v>
      </c>
      <c r="H56" s="23">
        <f>H15-H54</f>
        <v>-165998.0673333333</v>
      </c>
      <c r="I56" s="23">
        <f>I15-I54</f>
        <v>0</v>
      </c>
      <c r="J56" s="23">
        <f>J15-J54</f>
        <v>-102927.74333333332</v>
      </c>
      <c r="K56" s="23">
        <f>K15-K54</f>
        <v>0</v>
      </c>
      <c r="L56" s="23">
        <f>L15-L54</f>
        <v>-37606.58400000015</v>
      </c>
      <c r="M56" s="23">
        <f>M15-M54</f>
        <v>0</v>
      </c>
      <c r="N56" s="23">
        <f>N15-N54</f>
        <v>0</v>
      </c>
      <c r="O56" s="17" t="n"/>
    </row>
    <row r="57">
      <c r="A57" s="26" t="inlineStr">
        <is>
          <t>CLOSING BANK BALANCE</t>
        </is>
      </c>
      <c r="B57" s="27">
        <f>B10+B56</f>
        <v>274893.63</v>
      </c>
      <c r="C57" s="27" t="str">
        <f>IF(C$8=1,C10+C56,"")</f>
        <v/>
      </c>
      <c r="D57" s="27">
        <f>D10+D56</f>
        <v>731075.62</v>
      </c>
      <c r="E57" s="27" t="str">
        <f>IF(E$8=1,E10+E56,"")</f>
        <v/>
      </c>
      <c r="F57" s="27">
        <f>F10+F56</f>
        <v>666474.2266666667</v>
      </c>
      <c r="G57" s="27" t="str">
        <f>IF(G$8=1,G10+G56,"")</f>
        <v/>
      </c>
      <c r="H57" s="27">
        <f>H10+H56</f>
        <v>500476.1593333334</v>
      </c>
      <c r="I57" s="27" t="str">
        <f>IF(I$8=1,I10+I56,"")</f>
        <v/>
      </c>
      <c r="J57" s="27">
        <f>J10+J56</f>
        <v>397548.4160000001</v>
      </c>
      <c r="K57" s="27" t="str">
        <f>IF(K$8=1,K10+K56,"")</f>
        <v/>
      </c>
      <c r="L57" s="27">
        <f>J57</f>
        <v>397548.4160000001</v>
      </c>
      <c r="M57" s="27" t="str">
        <f>IF(K$8=1,K57,IF(I$8=1,I57,IF(G$8=1,G57,IF(E$8=1,E57,IF(C$8=1,C57,"")))))</f>
        <v/>
      </c>
      <c r="N57" s="28" t="n"/>
      <c r="O57" s="29" t="inlineStr">
        <is>
          <t>Opening + net. The Actual column fills in once the week's flag is 1, and the total column shows the latest completed week.</t>
        </is>
      </c>
    </row>
    <row r="58">
      <c r="A58" s="9" t="inlineStr">
        <is>
          <t>Actual bank balance per CommBiz (enter)</t>
        </is>
      </c>
      <c r="B58" s="10" t="inlineStr"/>
      <c r="C58" s="22" t="n"/>
      <c r="D58" s="10" t="inlineStr"/>
      <c r="E58" s="22" t="n"/>
      <c r="F58" s="10" t="inlineStr"/>
      <c r="G58" s="22" t="n"/>
      <c r="H58" s="10" t="inlineStr"/>
      <c r="I58" s="22" t="n"/>
      <c r="J58" s="10" t="inlineStr"/>
      <c r="K58" s="22" t="n"/>
      <c r="L58" s="12" t="n"/>
      <c r="M58" s="12" t="n"/>
      <c r="N58" s="12" t="n"/>
      <c r="O58" s="30" t="inlineStr">
        <is>
          <t>Type the real closing balance (cheque + savings) in at the end of each week.</t>
        </is>
      </c>
    </row>
    <row r="59">
      <c r="A59" s="9" t="inlineStr">
        <is>
          <t>Unexplained difference (actual closing less bank)</t>
        </is>
      </c>
      <c r="B59" s="10" t="inlineStr"/>
      <c r="C59" s="31" t="str">
        <f>IF(C$8=1,C57-C58,"")</f>
        <v/>
      </c>
      <c r="D59" s="10" t="inlineStr"/>
      <c r="E59" s="31" t="str">
        <f>IF(E$8=1,E57-E58,"")</f>
        <v/>
      </c>
      <c r="F59" s="10" t="inlineStr"/>
      <c r="G59" s="31" t="str">
        <f>IF(G$8=1,G57-G58,"")</f>
        <v/>
      </c>
      <c r="H59" s="10" t="inlineStr"/>
      <c r="I59" s="31" t="str">
        <f>IF(I$8=1,I57-I58,"")</f>
        <v/>
      </c>
      <c r="J59" s="10" t="inlineStr"/>
      <c r="K59" s="31" t="str">
        <f>IF(K$8=1,K57-K58,"")</f>
        <v/>
      </c>
      <c r="L59" s="12" t="n"/>
      <c r="M59" s="12" t="n"/>
      <c r="N59" s="12" t="n"/>
      <c r="O59" s="13" t="inlineStr">
        <is>
          <t xml:space="preserve">Should be nil once everything's in. this is a sense check </t>
        </is>
      </c>
    </row>
    <row r="60"/>
    <row r="61">
      <c r="A61" s="7" t="inlineStr">
        <is>
          <t>MEMO</t>
        </is>
      </c>
      <c r="B61" s="19" t="n"/>
      <c r="C61" s="19" t="n"/>
      <c r="D61" s="19" t="n"/>
      <c r="E61" s="19" t="n"/>
      <c r="F61" s="19" t="n"/>
      <c r="G61" s="19" t="n"/>
      <c r="H61" s="19" t="n"/>
      <c r="I61" s="19" t="n"/>
      <c r="J61" s="19" t="n"/>
      <c r="K61" s="19" t="n"/>
      <c r="L61" s="19" t="n"/>
      <c r="M61" s="19" t="n"/>
      <c r="N61" s="19" t="n"/>
      <c r="O61" s="19" t="n"/>
    </row>
    <row r="62">
      <c r="A62" s="20" t="inlineStr">
        <is>
          <t xml:space="preserve">   Cash needed in the cheque account on pay day (net + super + reimb.)</t>
        </is>
      </c>
      <c r="B62" s="21">
        <f>B19+B20+B23</f>
        <v>99568</v>
      </c>
      <c r="D62" s="21">
        <f>D19+D20+D23</f>
        <v>0</v>
      </c>
      <c r="F62" s="21">
        <f>F19+F20+F23</f>
        <v>99568</v>
      </c>
      <c r="H62" s="21">
        <f>H19+H20+H23</f>
        <v>0</v>
      </c>
      <c r="J62" s="21">
        <f>J19+J20+J23</f>
        <v>99568</v>
      </c>
      <c r="O62" s="3" t="n"/>
    </row>
    <row r="63">
      <c r="A63" s="20" t="inlineStr">
        <is>
          <t xml:space="preserve">   Closing balance as weeks of payroll cover</t>
        </is>
      </c>
      <c r="B63" s="32">
        <f>IF(Payroll!$I$5=0,0,B57/(Payroll!$I$5/2))</f>
        <v>5.521726458299855</v>
      </c>
      <c r="D63" s="32">
        <f>IF(Payroll!$I$5=0,0,D57/(Payroll!$I$5/2))</f>
        <v>14.684951390004821</v>
      </c>
      <c r="F63" s="32">
        <f>IF(Payroll!$I$5=0,0,F57/(Payroll!$I$5/2))</f>
        <v>13.387317745996036</v>
      </c>
      <c r="H63" s="32">
        <f>IF(Payroll!$I$5=0,0,H57/(Payroll!$I$5/2))</f>
        <v>10.052951939043334</v>
      </c>
      <c r="J63" s="32">
        <f>IF(Payroll!$I$5=0,0,J57/(Payroll!$I$5/2))</f>
        <v>7.985465531094329</v>
      </c>
      <c r="O63" s="3" t="n"/>
    </row>
    <row r="64">
      <c r="A64" s="20" t="inlineStr">
        <is>
          <t xml:space="preserve">   Receipts expected after 1 Nov (not in this forecast)</t>
        </is>
      </c>
      <c r="L64" s="21">
        <f>SUMIFS(Receivables!$F$5:$F$52,Receivables!$H$5:$H$52,"&gt;"&amp;Assumptions!$C$48)</f>
        <v>45771.22</v>
      </c>
      <c r="O64" s="33" t="inlineStr">
        <is>
          <t>PwC Sep contract invoices, Meet Magic, Property NSW.</t>
        </is>
      </c>
    </row>
    <row r="65">
      <c r="A65" s="20" t="inlineStr">
        <is>
          <t xml:space="preserve">   Payments held past 1 Nov (not in this forecast)</t>
        </is>
      </c>
      <c r="L65" s="21">
        <f>SUMIFS(Payables!$D$19:$D$60,Payables!$E$19:$E$60,"&lt;&gt;Card",Payables!$G$19:$G$60,"&gt;"&amp;Assumptions!$C$48)</f>
        <v>72040.76000000001</v>
      </c>
      <c r="O65" s="3" t="inlineStr">
        <is>
          <t>Complete AV labour $41,956 (held for Aware sign off), Oct rent, Oct mobiles.</t>
        </is>
      </c>
    </row>
    <row r="66"/>
    <row r="67">
      <c r="A67" s="7" t="inlineStr">
        <is>
          <t>KEY RISKS &amp; THINGS TO CONFIRM</t>
        </is>
      </c>
      <c r="B67" s="19" t="n"/>
      <c r="C67" s="19" t="n"/>
      <c r="D67" s="19" t="n"/>
      <c r="E67" s="19" t="n"/>
      <c r="F67" s="19" t="n"/>
      <c r="G67" s="19" t="n"/>
      <c r="H67" s="19" t="n"/>
      <c r="I67" s="19" t="n"/>
      <c r="J67" s="19" t="n"/>
      <c r="K67" s="19" t="n"/>
      <c r="L67" s="19" t="n"/>
      <c r="M67" s="19" t="n"/>
      <c r="N67" s="19" t="n"/>
      <c r="O67" s="19" t="n"/>
    </row>
    <row r="68" ht="30" customHeight="1">
      <c r="A68" s="34" t="inlineStr">
        <is>
          <t>1. Aware Super $225,887 (INV-10596, due 9 Oct) is the big one. We're paying Complete AV materials $136,163 this week (30 Sep), ahead of it landing - if Aware slip, the held labour stays held and we watch the cheque account. Build-up on the Complete AV tab.</t>
        </is>
      </c>
    </row>
    <row r="69" ht="30" customHeight="1">
      <c r="A69" s="34" t="inlineStr">
        <is>
          <t>2. Complete AV labour and programming ($41,956 inc GST) is held until Aware sign off and we get the handover docs - agreed 28 Sep. Jordan thinks they may push for programming or sub-trade costs. If we agree to any, add them on the Payables tab.</t>
        </is>
      </c>
    </row>
    <row r="70" ht="30" customHeight="1">
      <c r="A70" s="34" t="inlineStr">
        <is>
          <t>3. Ventia $58,025 is a month overdue and their other three ($36,677) are assumed 2-3 weeks late. PwC, Gen-e and Microsoft each have a month-old one too. Chase this week.</t>
        </is>
      </c>
    </row>
    <row r="71" ht="30" customHeight="1">
      <c r="A71" s="34" t="inlineStr">
        <is>
          <t>4. BAS - Sep quarter (Sep PAYG ~$50k + GST est ~$50k + any instalment) is due 28 Oct as we lodge it ourselves - it's in week 4. Swap the GST estimate for the activity statement figure once it's run.</t>
        </is>
      </c>
    </row>
  </sheetData>
  <mergeCells count="16">
    <mergeCell ref="A69:O69"/>
    <mergeCell ref="D6:E6"/>
    <mergeCell ref="B6:C6"/>
    <mergeCell ref="H6:I6"/>
    <mergeCell ref="J5:K5"/>
    <mergeCell ref="J6:K6"/>
    <mergeCell ref="B5:C5"/>
    <mergeCell ref="F5:G5"/>
    <mergeCell ref="D5:E5"/>
    <mergeCell ref="A68:O68"/>
    <mergeCell ref="A71:O71"/>
    <mergeCell ref="F6:G6"/>
    <mergeCell ref="H5:I5"/>
    <mergeCell ref="L5:M5"/>
    <mergeCell ref="A70:O70"/>
    <mergeCell ref="A3:O3"/>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C48"/>
  <sheetViews>
    <sheetView workbookViewId="0">
      <selection activeCell="A1" sqref="A1"/>
    </sheetView>
  </sheetViews>
  <sheetFormatPr baseColWidth="8" defaultRowHeight="15"/>
  <cols>
    <col width="54" customWidth="1" min="1" max="1"/>
    <col width="16" customWidth="1" min="2" max="2"/>
    <col width="100" customWidth="1" min="3" max="3"/>
  </cols>
  <sheetData>
    <row r="1">
      <c r="A1" s="1" t="inlineStr">
        <is>
          <t>CTS Cash Flow Forecast - Assumptions &amp; Inputs</t>
        </is>
      </c>
    </row>
    <row r="2">
      <c r="A2" s="33" t="inlineStr">
        <is>
          <t>Blue = change it if you need to. Black = formula, leave it alone. Bright yellow = the ones I still want to double check. Everything is GST inclusive because that's what actually hits the bank.</t>
        </is>
      </c>
    </row>
    <row r="3"/>
    <row r="4">
      <c r="A4" s="7" t="inlineStr">
        <is>
          <t>TIMING &amp; OPENING POSITION</t>
        </is>
      </c>
      <c r="B4" s="19" t="n"/>
      <c r="C4" s="19" t="n"/>
    </row>
    <row r="5">
      <c r="A5" s="20" t="inlineStr">
        <is>
          <t>Forecast start (Monday of this week)</t>
        </is>
      </c>
      <c r="B5" s="35" t="n">
        <v>46293</v>
      </c>
      <c r="C5" s="3" t="inlineStr">
        <is>
          <t>Mon 28 Sep. Week 1 runs through to Wed 7 Oct so it picks up the pay run and payroll tax, then it's weekly from there (Thu to Wed). Week table is at the bottom of this tab.</t>
        </is>
      </c>
    </row>
    <row r="6">
      <c r="A6" s="20" t="inlineStr">
        <is>
          <t>Opening bank balance - cheque + savings</t>
        </is>
      </c>
      <c r="B6" s="36">
        <f>25155+410000</f>
        <v>435155</v>
      </c>
      <c r="C6" s="3" t="inlineStr">
        <is>
          <t>Cheque $25,155 + savings $410,000 at 28 Sep. Not counting the other accounts - they're not there for day to day. Payroll comes out of cheque, topped up from savings, so check the cheque balance before every pay run.</t>
        </is>
      </c>
    </row>
    <row r="7">
      <c r="A7" s="20" t="inlineStr">
        <is>
          <t>Number of weeks</t>
        </is>
      </c>
      <c r="B7" s="37" t="n">
        <v>5</v>
      </c>
      <c r="C7" s="3" t="inlineStr">
        <is>
          <t>Each week has a Forecast and an Actual column on the Cash Flow tab.</t>
        </is>
      </c>
    </row>
    <row r="8">
      <c r="A8" s="7" t="inlineStr">
        <is>
          <t>PAYROLL (fortnightly, paid Tuesday of processing week)</t>
        </is>
      </c>
      <c r="B8" s="19" t="n"/>
      <c r="C8" s="19" t="n"/>
    </row>
    <row r="9">
      <c r="A9" s="20" t="inlineStr">
        <is>
          <t>Gross wages per fortnight</t>
        </is>
      </c>
      <c r="B9" s="38" t="n">
        <v>111000</v>
      </c>
      <c r="C9" s="3" t="inlineStr">
        <is>
          <t>Average of the last three runs we know: 11 Aug $108,325, 25 Aug $115,340 (GL journals #69396, #69669) and the two Sep runs $217,062 between them (Xero cash P&amp;L to 28 Sep). Detail on the Payroll tab.</t>
        </is>
      </c>
    </row>
    <row r="10">
      <c r="A10" s="20" t="inlineStr">
        <is>
          <t>Net pay as % of gross</t>
        </is>
      </c>
      <c r="B10" s="39" t="n">
        <v>0.768</v>
      </c>
      <c r="C10" s="3" t="inlineStr">
        <is>
          <t>25 Aug run - gross $115.3k, ABA file $88.5k = 76.8% (Part 6 video, 03:16-04:12). The gap is PAYG and sal sac.</t>
        </is>
      </c>
    </row>
    <row r="11">
      <c r="A11" s="20" t="inlineStr">
        <is>
          <t>PAYG withheld as % of gross</t>
        </is>
      </c>
      <c r="B11" s="40">
        <f>1-B10</f>
        <v>0.23199999999999998</v>
      </c>
      <c r="C11" s="3" t="inlineStr">
        <is>
          <t>1 less net %. Goes to the ATO with the IAS/BAS, not on pay day.</t>
        </is>
      </c>
    </row>
    <row r="12">
      <c r="A12" s="20" t="inlineStr">
        <is>
          <t>Superannuation as % of gross</t>
        </is>
      </c>
      <c r="B12" s="39" t="n">
        <v>0.12</v>
      </c>
      <c r="C12" s="3" t="inlineStr">
        <is>
          <t>SG is 12%. 25 Aug: $13,677 SG on $115,340 gross. Sal sac super (~$1k a run) goes out in the same super batch but comes off gross, so it's not added on here.</t>
        </is>
      </c>
    </row>
    <row r="13">
      <c r="A13" s="20" t="inlineStr">
        <is>
          <t>Employee reimbursements per pay run (expense claims)</t>
        </is>
      </c>
      <c r="B13" s="41" t="n">
        <v>1000</v>
      </c>
      <c r="C13" s="3" t="inlineStr">
        <is>
          <t>Placeholder - I can't see expense claims in Xero. Per diems ($75 a night) go through payroll so they're already in net pay. Put the usual expense claim amount in here.</t>
        </is>
      </c>
    </row>
    <row r="14">
      <c r="A14" s="20" t="inlineStr">
        <is>
          <t>Pay date - run 1 (fortnight ending Fri 2 Oct)</t>
        </is>
      </c>
      <c r="B14" s="35" t="n">
        <v>46301</v>
      </c>
      <c r="C14" s="3" t="inlineStr">
        <is>
          <t>Always the Tuesday of processing week (Part 2 video, Checklist step 13). Mon 5 Oct is a PH so run 1 has to be done and uploaded on Fri 2 Oct. Super direct debits the same week (step 69) - payday super since 1 Jul 26.</t>
        </is>
      </c>
    </row>
    <row r="15">
      <c r="A15" s="20" t="inlineStr">
        <is>
          <t>Pay date - run 2 (fortnight ending Fri 16 Oct)</t>
        </is>
      </c>
      <c r="B15" s="35" t="n">
        <v>46315</v>
      </c>
      <c r="C15" s="3" t="inlineStr">
        <is>
          <t>Tue 20 Oct.</t>
        </is>
      </c>
    </row>
    <row r="16">
      <c r="A16" s="20" t="inlineStr">
        <is>
          <t>Pay date - run 3 (fortnight ending Fri 30 Oct)</t>
        </is>
      </c>
      <c r="B16" s="35" t="n">
        <v>46329</v>
      </c>
      <c r="C16" s="3" t="inlineStr">
        <is>
          <t>Tue 3 Nov (FE 30 Oct). Only hits the forecast if the week table runs that far - it does at the moment.</t>
        </is>
      </c>
    </row>
    <row r="17">
      <c r="A17" s="20" t="inlineStr">
        <is>
          <t>Payroll tax NSW - September return (due 7 Oct)</t>
        </is>
      </c>
      <c r="B17" s="41" t="n">
        <v>6295</v>
      </c>
      <c r="C17" s="3" t="inlineStr">
        <is>
          <t>Sep return isn't lodged yet so I've used Aug: $6,120.40 + $174.67 (GL #69671, #70351). Due the 7th of the following month. Update once it's lodged.</t>
        </is>
      </c>
    </row>
    <row r="18">
      <c r="A18" s="20" t="inlineStr">
        <is>
          <t>Payroll tax other states (ACT/QLD/SA/VIC/WA) - Sep (due 7 Oct)</t>
        </is>
      </c>
      <c r="B18" s="41" t="n">
        <v>2700</v>
      </c>
      <c r="C18" s="3" t="inlineStr">
        <is>
          <t>Aug actual $2,700 (GL #69670), July was $3,000. All due on the 7th too.</t>
        </is>
      </c>
    </row>
    <row r="19">
      <c r="A19" s="20" t="inlineStr">
        <is>
          <t>Payroll tax payment date</t>
        </is>
      </c>
      <c r="B19" s="35" t="n">
        <v>46302</v>
      </c>
      <c r="C19" s="3" t="inlineStr">
        <is>
          <t>Wed 7 Oct.</t>
        </is>
      </c>
    </row>
    <row r="20">
      <c r="A20" s="7" t="inlineStr">
        <is>
          <t>BAS / PAYG WITHHOLDING</t>
        </is>
      </c>
      <c r="B20" s="19" t="n"/>
      <c r="C20" s="19" t="n"/>
    </row>
    <row r="21">
      <c r="A21" s="20" t="inlineStr">
        <is>
          <t>Q1 BAS paid inside this forecast? (1 = yes, 0 = no)</t>
        </is>
      </c>
      <c r="B21" s="42" t="n">
        <v>1</v>
      </c>
      <c r="C21" s="3" t="inlineStr">
        <is>
          <t>1 = we lodge it ourselves and pay 28 Oct (week 4). 0 = through the agent, 25 Nov, outside the forecast.</t>
        </is>
      </c>
    </row>
    <row r="22">
      <c r="A22" s="20" t="inlineStr">
        <is>
          <t>Sep PAYG withholding (goes on the Q1 BAS)</t>
        </is>
      </c>
      <c r="B22" s="21">
        <f>B11*217062</f>
        <v>50358.384</v>
      </c>
      <c r="C22" s="3" t="inlineStr">
        <is>
          <t>PAYG % x Sep gross $217,062 (Xero cash P&amp;L). Jul and Aug went on the IAS (21 Aug, 21 Sep) so nothing falls in Oct.</t>
        </is>
      </c>
    </row>
    <row r="23">
      <c r="A23" s="20" t="inlineStr">
        <is>
          <t>Net GST payable for Sep quarter - ESTIMATE</t>
        </is>
      </c>
      <c r="B23" s="41" t="n">
        <v>50000</v>
      </c>
      <c r="C23" s="3" t="inlineStr">
        <is>
          <t>Rough guess - GST on ~$1.5m in, less GST on ~$1.0m out. Replace with the activity statement figure from Xero.</t>
        </is>
      </c>
    </row>
    <row r="24">
      <c r="A24" s="20" t="inlineStr">
        <is>
          <t>PAYG income-tax instalment for Sep quarter</t>
        </is>
      </c>
      <c r="B24" s="38" t="n">
        <v>0</v>
      </c>
      <c r="C24" s="3" t="inlineStr">
        <is>
          <t>Can't see this in Xero. Put the ATO instalment in here if there is one.</t>
        </is>
      </c>
    </row>
    <row r="25">
      <c r="A25" s="20" t="inlineStr">
        <is>
          <t>BAS payment date if paid in October</t>
        </is>
      </c>
      <c r="B25" s="35" t="n">
        <v>46323</v>
      </c>
      <c r="C25" s="3" t="inlineStr">
        <is>
          <t>28 Oct as we lodge it ourselves.</t>
        </is>
      </c>
    </row>
    <row r="26">
      <c r="A26" s="7" t="inlineStr">
        <is>
          <t>COSTS NOT BILLED YET - MONTHLY ESTIMATES (spread over the 5 weeks)</t>
        </is>
      </c>
      <c r="B26" s="19" t="n"/>
      <c r="C26" s="19" t="n"/>
    </row>
    <row r="27">
      <c r="A27" s="20" t="inlineStr">
        <is>
          <t>Sub-contract labour</t>
        </is>
      </c>
      <c r="B27" s="41" t="n">
        <v>40000</v>
      </c>
      <c r="C27" s="3" t="inlineStr">
        <is>
          <t>Sep cash P&amp;L: Integration $31,990 + PRD $7,154. Oct work that gets billed and paid inside the month.</t>
        </is>
      </c>
    </row>
    <row r="28">
      <c r="A28" s="20" t="inlineStr">
        <is>
          <t>Equipment &amp; service hires</t>
        </is>
      </c>
      <c r="B28" s="41" t="n">
        <v>30000</v>
      </c>
      <c r="C28" s="3" t="inlineStr">
        <is>
          <t>Sep cash P&amp;L: service hires $17,344 + equipment hires $11,427.</t>
        </is>
      </c>
    </row>
    <row r="29">
      <c r="A29" s="20" t="inlineStr">
        <is>
          <t>Project equipment purchases (not yet billed)</t>
        </is>
      </c>
      <c r="B29" s="41" t="n">
        <v>20000</v>
      </c>
      <c r="C29" s="3" t="inlineStr">
        <is>
          <t>On top of the Complete AV / Crestron / Fredon bills already listed. Oct is a big Production month in the budget ($587k income) so this could easily be higher.</t>
        </is>
      </c>
    </row>
    <row r="30">
      <c r="A30" s="20" t="inlineStr">
        <is>
          <t>Direct travel &amp; freight (client jobs)</t>
        </is>
      </c>
      <c r="B30" s="38" t="n">
        <v>7000</v>
      </c>
      <c r="C30" s="3" t="inlineStr">
        <is>
          <t>Sep: ONS travel $4,120 + PRD $1,572 + ~$1,300 freight.</t>
        </is>
      </c>
    </row>
    <row r="31">
      <c r="A31" s="20" t="inlineStr">
        <is>
          <t>Client subscriptions &amp; licences (not yet billed)</t>
        </is>
      </c>
      <c r="B31" s="38" t="n">
        <v>3000</v>
      </c>
      <c r="C31" s="3" t="inlineStr">
        <is>
          <t>Sep: $3,573 outside the Appspace / Spacera / Eptura bills.</t>
        </is>
      </c>
    </row>
    <row r="32">
      <c r="A32" s="20" t="inlineStr">
        <is>
          <t>Recruitment (Seek, LinkedIn, agency)</t>
        </is>
      </c>
      <c r="B32" s="38" t="n">
        <v>5000</v>
      </c>
      <c r="C32" s="3" t="inlineStr">
        <is>
          <t>Sep was $11,742 with the casual concierge campaign. I've assumed half that.</t>
        </is>
      </c>
    </row>
    <row r="33">
      <c r="A33" s="20" t="inlineStr">
        <is>
          <t>Accounting, legal &amp; advisory (beyond the 8020 retainer)</t>
        </is>
      </c>
      <c r="B33" s="38" t="n">
        <v>4000</v>
      </c>
      <c r="C33" s="3" t="inlineStr">
        <is>
          <t>Jun-Aug: accounting $7,733 + legal $2,900 over 3 months.</t>
        </is>
      </c>
    </row>
    <row r="34">
      <c r="A34" s="20" t="inlineStr">
        <is>
          <t>Insurance</t>
        </is>
      </c>
      <c r="B34" s="38" t="n">
        <v>3000</v>
      </c>
      <c r="C34" s="3" t="inlineStr">
        <is>
          <t>Jun-Aug: other insurance $5,073 + workers comp $2,336 over 3 months, call it $2.5k a month.</t>
        </is>
      </c>
    </row>
    <row r="35">
      <c r="A35" s="20" t="inlineStr">
        <is>
          <t>Office, amenities &amp; entertainment</t>
        </is>
      </c>
      <c r="B35" s="38" t="n">
        <v>2000</v>
      </c>
      <c r="C35" s="3" t="inlineStr">
        <is>
          <t>Jun-Aug ran ~$4k a month across amenities, supplies and staff entertainment. Sep was lower.</t>
        </is>
      </c>
    </row>
    <row r="36">
      <c r="A36" s="20" t="inlineStr">
        <is>
          <t>Bank &amp; merchant fees</t>
        </is>
      </c>
      <c r="B36" s="38" t="n">
        <v>1000</v>
      </c>
      <c r="C36" s="3" t="inlineStr">
        <is>
          <t>Sep: bank charges $2,311 + Stripe $271, but Sep had a one-off in it.</t>
        </is>
      </c>
    </row>
    <row r="37">
      <c r="A37" s="20" t="inlineStr">
        <is>
          <t>Credit card settlements per month (PL + DL cards)</t>
        </is>
      </c>
      <c r="B37" s="38" t="n">
        <v>25000</v>
      </c>
      <c r="C37" s="3" t="inlineStr">
        <is>
          <t>Sep transfers to the cards: $15,000 + $4,224.75 (PL) + $5,718.88 (DL) = $24,944. Covers every bill marked paid via CC - those are left out of the Payables totals so nothing gets counted twice.</t>
        </is>
      </c>
    </row>
    <row r="38">
      <c r="A38" s="7" t="inlineStr">
        <is>
          <t>RECEIPTS - ESTIMATES</t>
        </is>
      </c>
      <c r="B38" s="19" t="n"/>
      <c r="C38" s="19" t="n"/>
    </row>
    <row r="39">
      <c r="A39" s="20" t="inlineStr">
        <is>
          <t>October-dated invoices collected within October</t>
        </is>
      </c>
      <c r="B39" s="38" t="n">
        <v>20000</v>
      </c>
      <c r="C39" s="3" t="inlineStr">
        <is>
          <t>Sep: invoices raised and paid in the same month (Ubank $10,867, RSNSW $3,587, CSIRO $1,971, Garvan, Elkiem, Bankwest event, St Vincent's) came to ~$20k. Spread over weeks 3-5.</t>
        </is>
      </c>
    </row>
    <row r="40">
      <c r="A40" s="20" t="inlineStr">
        <is>
          <t>Interest received on savings</t>
        </is>
      </c>
      <c r="B40" s="38" t="n">
        <v>600</v>
      </c>
      <c r="C40" s="3" t="inlineStr">
        <is>
          <t>Sep was $648.92. Lands at month end.</t>
        </is>
      </c>
    </row>
    <row r="41"/>
    <row r="42">
      <c r="A42" s="7" t="inlineStr">
        <is>
          <t>WEEK TABLE (calculated)</t>
        </is>
      </c>
      <c r="B42" s="19" t="n"/>
      <c r="C42" s="19" t="n"/>
    </row>
    <row r="43">
      <c r="A43" s="9" t="inlineStr">
        <is>
          <t>Week</t>
        </is>
      </c>
      <c r="B43" s="9" t="inlineStr">
        <is>
          <t>Start</t>
        </is>
      </c>
      <c r="C43" s="9" t="inlineStr">
        <is>
          <t>End</t>
        </is>
      </c>
    </row>
    <row r="44">
      <c r="A44" s="20" t="n">
        <v>1</v>
      </c>
      <c r="B44" s="43">
        <f>Assumptions!$B$5</f>
        <v>46293</v>
      </c>
      <c r="C44" s="43">
        <f>B44+9</f>
        <v>46302</v>
      </c>
    </row>
    <row r="45">
      <c r="A45" s="20" t="n">
        <v>2</v>
      </c>
      <c r="B45" s="43">
        <f>C44+1</f>
        <v>46303</v>
      </c>
      <c r="C45" s="43">
        <f>B45+6</f>
        <v>46309</v>
      </c>
    </row>
    <row r="46">
      <c r="A46" s="20" t="n">
        <v>3</v>
      </c>
      <c r="B46" s="43">
        <f>C45+1</f>
        <v>46310</v>
      </c>
      <c r="C46" s="43">
        <f>B46+6</f>
        <v>46316</v>
      </c>
    </row>
    <row r="47">
      <c r="A47" s="20" t="n">
        <v>4</v>
      </c>
      <c r="B47" s="43">
        <f>C46+1</f>
        <v>46317</v>
      </c>
      <c r="C47" s="43">
        <f>B47+6</f>
        <v>46323</v>
      </c>
    </row>
    <row r="48">
      <c r="A48" s="20" t="n">
        <v>5</v>
      </c>
      <c r="B48" s="43">
        <f>C47+1</f>
        <v>46324</v>
      </c>
      <c r="C48" s="43">
        <f>B48+6</f>
        <v>46330</v>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J29"/>
  <sheetViews>
    <sheetView workbookViewId="0">
      <selection activeCell="A1" sqref="A1"/>
    </sheetView>
  </sheetViews>
  <sheetFormatPr baseColWidth="8" defaultRowHeight="15"/>
  <cols>
    <col width="34" customWidth="1" min="1" max="1"/>
    <col width="16" customWidth="1" min="2" max="2"/>
    <col width="16" customWidth="1" min="3" max="3"/>
    <col width="14" customWidth="1" min="4" max="4"/>
    <col width="14" customWidth="1" min="5" max="5"/>
    <col width="14" customWidth="1" min="6" max="6"/>
    <col width="14" customWidth="1" min="7" max="7"/>
    <col width="14" customWidth="1" min="8" max="8"/>
    <col width="16" customWidth="1" min="9" max="9"/>
    <col width="60" customWidth="1" min="10" max="10"/>
  </cols>
  <sheetData>
    <row r="1">
      <c r="A1" s="1" t="inlineStr">
        <is>
          <t>Payroll schedule - October 2026</t>
        </is>
      </c>
    </row>
    <row r="2">
      <c r="A2" s="33" t="inlineStr">
        <is>
          <t>Fortnightly. Pay date is the Tuesday of processing week. Super direct debits the same week. PAYG goes later with the IAS/BAS.</t>
        </is>
      </c>
    </row>
    <row r="3"/>
    <row r="4" ht="30" customHeight="1">
      <c r="A4" s="44" t="inlineStr">
        <is>
          <t>Pay run</t>
        </is>
      </c>
      <c r="B4" s="44" t="inlineStr">
        <is>
          <t>Fortnight ending</t>
        </is>
      </c>
      <c r="C4" s="44" t="inlineStr">
        <is>
          <t>Pay date</t>
        </is>
      </c>
      <c r="D4" s="44" t="inlineStr">
        <is>
          <t>Gross wages</t>
        </is>
      </c>
      <c r="E4" s="44" t="inlineStr">
        <is>
          <t>Net pay (ABA file)</t>
        </is>
      </c>
      <c r="F4" s="44" t="inlineStr">
        <is>
          <t>PAYG withheld</t>
        </is>
      </c>
      <c r="G4" s="44" t="inlineStr">
        <is>
          <t>Super (direct debit)</t>
        </is>
      </c>
      <c r="H4" s="44" t="inlineStr">
        <is>
          <t>Reimbursements</t>
        </is>
      </c>
      <c r="I4" s="44" t="inlineStr">
        <is>
          <t>Cash out on payday (net + super + reimb.)</t>
        </is>
      </c>
      <c r="J4" s="44" t="inlineStr">
        <is>
          <t>Notes</t>
        </is>
      </c>
    </row>
    <row r="5">
      <c r="A5" s="20" t="inlineStr">
        <is>
          <t>Run 1 - Oct</t>
        </is>
      </c>
      <c r="B5" s="35" t="n">
        <v>46297</v>
      </c>
      <c r="C5" s="45">
        <f>Assumptions!$B$14</f>
        <v>46301</v>
      </c>
      <c r="D5" s="46">
        <f>Assumptions!$B$9</f>
        <v>111000</v>
      </c>
      <c r="E5" s="21">
        <f>D5*Assumptions!$B$10</f>
        <v>85248</v>
      </c>
      <c r="F5" s="21">
        <f>D5*Assumptions!$B$11</f>
        <v>25752</v>
      </c>
      <c r="G5" s="21">
        <f>D5*Assumptions!$B$12</f>
        <v>13320</v>
      </c>
      <c r="H5" s="46">
        <f>Assumptions!$B$13</f>
        <v>1000</v>
      </c>
      <c r="I5" s="21">
        <f>E5+G5+H5</f>
        <v>99568</v>
      </c>
      <c r="J5" s="3" t="inlineStr">
        <is>
          <t>FE Fri 2 Oct. Mon 5 Oct is a PH so the whole thing gets done on Fri 2 Oct - chase approvals first thing, reconcile, finalise with Graham, ABA into CommBiz, payroll email to Duncan. Move the funds from savings on the Friday. Paid Tue 6 Oct.</t>
        </is>
      </c>
    </row>
    <row r="6">
      <c r="A6" s="20" t="inlineStr">
        <is>
          <t>Run 2 - Oct</t>
        </is>
      </c>
      <c r="B6" s="35" t="n">
        <v>46311</v>
      </c>
      <c r="C6" s="45">
        <f>Assumptions!$B$15</f>
        <v>46315</v>
      </c>
      <c r="D6" s="46">
        <f>Assumptions!$B$9</f>
        <v>111000</v>
      </c>
      <c r="E6" s="21">
        <f>D6*Assumptions!$B$10</f>
        <v>85248</v>
      </c>
      <c r="F6" s="21">
        <f>D6*Assumptions!$B$11</f>
        <v>25752</v>
      </c>
      <c r="G6" s="21">
        <f>D6*Assumptions!$B$12</f>
        <v>13320</v>
      </c>
      <c r="H6" s="46">
        <f>Assumptions!$B$13</f>
        <v>1000</v>
      </c>
      <c r="I6" s="21">
        <f>E6+G6+H6</f>
        <v>99568</v>
      </c>
      <c r="J6" s="3" t="inlineStr">
        <is>
          <t>Last run of the month - accrue bonus leave (Checklist step 48). No cash effect.</t>
        </is>
      </c>
    </row>
    <row r="7">
      <c r="A7" s="20" t="inlineStr">
        <is>
          <t>Run 3 - Nov</t>
        </is>
      </c>
      <c r="B7" s="35" t="n">
        <v>46325</v>
      </c>
      <c r="C7" s="45">
        <f>Assumptions!$B$16</f>
        <v>46329</v>
      </c>
      <c r="D7" s="46">
        <f>Assumptions!$B$9</f>
        <v>111000</v>
      </c>
      <c r="E7" s="21">
        <f>D7*Assumptions!$B$10</f>
        <v>85248</v>
      </c>
      <c r="F7" s="21">
        <f>D7*Assumptions!$B$11</f>
        <v>25752</v>
      </c>
      <c r="G7" s="21">
        <f>D7*Assumptions!$B$12</f>
        <v>13320</v>
      </c>
      <c r="H7" s="46">
        <f>Assumptions!$B$13</f>
        <v>1000</v>
      </c>
      <c r="I7" s="21">
        <f>E7+G7+H7</f>
        <v>99568</v>
      </c>
      <c r="J7" s="3" t="inlineStr">
        <is>
          <t>FE 30 Oct, paid Tue 3 Nov. Only counts if the week table runs to 3 Nov.</t>
        </is>
      </c>
    </row>
    <row r="8">
      <c r="A8" s="14" t="inlineStr">
        <is>
          <t>Total pay runs listed</t>
        </is>
      </c>
      <c r="B8" s="17" t="n"/>
      <c r="C8" s="17" t="n"/>
      <c r="D8" s="16">
        <f>SUM(D5:D7)</f>
        <v>333000</v>
      </c>
      <c r="E8" s="16">
        <f>SUM(E5:E7)</f>
        <v>255744</v>
      </c>
      <c r="F8" s="16">
        <f>SUM(F5:F7)</f>
        <v>77256</v>
      </c>
      <c r="G8" s="16">
        <f>SUM(G5:G7)</f>
        <v>39960</v>
      </c>
      <c r="H8" s="16">
        <f>SUM(H5:H7)</f>
        <v>3000</v>
      </c>
      <c r="I8" s="16">
        <f>SUM(I5:I7)</f>
        <v>298704</v>
      </c>
      <c r="J8" s="17" t="n"/>
    </row>
    <row r="9">
      <c r="A9" s="2" t="inlineStr">
        <is>
          <t>Payroll tax for September wages (paid October)</t>
        </is>
      </c>
    </row>
    <row r="10">
      <c r="A10" s="20" t="inlineStr">
        <is>
          <t>NSW - due 7 Oct</t>
        </is>
      </c>
      <c r="B10" s="46">
        <f>Assumptions!$B$17</f>
        <v>6295</v>
      </c>
      <c r="C10" s="45">
        <f>Assumptions!$B$19</f>
        <v>46302</v>
      </c>
    </row>
    <row r="11">
      <c r="A11" s="20" t="inlineStr">
        <is>
          <t>Other states - due 7 Oct</t>
        </is>
      </c>
      <c r="B11" s="46">
        <f>Assumptions!$B$18</f>
        <v>2700</v>
      </c>
      <c r="C11" s="45">
        <f>Assumptions!$B$19</f>
        <v>46302</v>
      </c>
    </row>
    <row r="12">
      <c r="A12" s="14" t="inlineStr">
        <is>
          <t>Total payroll tax</t>
        </is>
      </c>
      <c r="B12" s="16">
        <f>B10+B11</f>
        <v>8995</v>
      </c>
      <c r="C12" s="17" t="n"/>
    </row>
    <row r="13">
      <c r="A13" s="33" t="inlineStr">
        <is>
          <t>Payroll tax on Oct wages is due 7 Nov - after this forecast.</t>
        </is>
      </c>
    </row>
    <row r="14"/>
    <row r="15">
      <c r="A15" s="2" t="inlineStr">
        <is>
          <t>Reference - actual pay runs this financial year</t>
        </is>
      </c>
    </row>
    <row r="16" ht="30" customHeight="1">
      <c r="A16" s="44" t="inlineStr">
        <is>
          <t>Pay run</t>
        </is>
      </c>
      <c r="B16" s="44" t="inlineStr">
        <is>
          <t>Pay date</t>
        </is>
      </c>
      <c r="C16" s="44" t="inlineStr">
        <is>
          <t>Gross wages</t>
        </is>
      </c>
      <c r="D16" s="44" t="inlineStr">
        <is>
          <t>Super batch (SG + salary sacrifice)</t>
        </is>
      </c>
      <c r="E16" s="44" t="inlineStr">
        <is>
          <t>Batch % of gross</t>
        </is>
      </c>
      <c r="F16" s="44" t="inlineStr">
        <is>
          <t>Source</t>
        </is>
      </c>
    </row>
    <row r="17">
      <c r="A17" s="20" t="inlineStr">
        <is>
          <t>FE 10 Jul</t>
        </is>
      </c>
      <c r="B17" s="35" t="n">
        <v>46217</v>
      </c>
      <c r="C17" s="38" t="n">
        <v>104335.03</v>
      </c>
      <c r="D17" s="38" t="n">
        <v>13289.41</v>
      </c>
      <c r="E17" s="40">
        <f>IF(C17=0,0,D17/C17)</f>
        <v>0.12737246541262318</v>
      </c>
      <c r="F17" s="33" t="inlineStr">
        <is>
          <t>Controller Pack GL_Paste journals #69527 / #69434</t>
        </is>
      </c>
    </row>
    <row r="18">
      <c r="A18" s="20" t="inlineStr">
        <is>
          <t>FE 24 Jul</t>
        </is>
      </c>
      <c r="B18" s="35" t="n">
        <v>46231</v>
      </c>
      <c r="C18" s="38" t="n">
        <v>101030.18</v>
      </c>
      <c r="D18" s="38" t="n">
        <v>13068.87</v>
      </c>
      <c r="E18" s="40">
        <f>IF(C18=0,0,D18/C18)</f>
        <v>0.12935609933586184</v>
      </c>
      <c r="F18" s="33" t="inlineStr">
        <is>
          <t>GL journals #68743 / #68744</t>
        </is>
      </c>
    </row>
    <row r="19">
      <c r="A19" s="20" t="inlineStr">
        <is>
          <t>FE 7 Aug</t>
        </is>
      </c>
      <c r="B19" s="35" t="n">
        <v>46245</v>
      </c>
      <c r="C19" s="38" t="n">
        <v>108324.58</v>
      </c>
      <c r="D19" s="38" t="n">
        <v>13783.25</v>
      </c>
      <c r="E19" s="40">
        <f>IF(C19=0,0,D19/C19)</f>
        <v>0.127240281014706</v>
      </c>
      <c r="F19" s="33" t="inlineStr">
        <is>
          <t>GL journals #69396 / #69397</t>
        </is>
      </c>
    </row>
    <row r="20">
      <c r="A20" s="20" t="inlineStr">
        <is>
          <t>FE 21 Aug</t>
        </is>
      </c>
      <c r="B20" s="35" t="n">
        <v>46259</v>
      </c>
      <c r="C20" s="38" t="n">
        <v>115339.8</v>
      </c>
      <c r="D20" s="38" t="n">
        <v>14677.93</v>
      </c>
      <c r="E20" s="40">
        <f>IF(C20=0,0,D20/C20)</f>
        <v>0.1272581537335768</v>
      </c>
      <c r="F20" s="33" t="inlineStr">
        <is>
          <t>GL journals #69669 / #69663 (the run in the training videos)</t>
        </is>
      </c>
    </row>
    <row r="21">
      <c r="A21" s="20" t="inlineStr">
        <is>
          <t>FE 4 Sep + FE 18 Sep (two runs)</t>
        </is>
      </c>
      <c r="B21" s="35" t="n">
        <v>46287</v>
      </c>
      <c r="C21" s="38" t="n">
        <v>217061.76</v>
      </c>
      <c r="D21" s="38" t="n">
        <v>27815.63</v>
      </c>
      <c r="E21" s="40">
        <f>IF(C21=0,0,D21/C21)</f>
        <v>0.12814615526935744</v>
      </c>
      <c r="F21" s="33" t="inlineStr">
        <is>
          <t>Xero cash P&amp;L 1-28 Sep: all salaries &amp; wages accounts; direct + indirect super</t>
        </is>
      </c>
    </row>
    <row r="22">
      <c r="A22" s="14" t="inlineStr">
        <is>
          <t>Average gross per fortnight (last 4 fortnights)</t>
        </is>
      </c>
      <c r="B22" s="16">
        <f>(C19+C20+C21)/4</f>
        <v>110181.535</v>
      </c>
      <c r="C22" s="33" t="inlineStr">
        <is>
          <t>Aug runs plus the two Sep runs, over four fortnights</t>
        </is>
      </c>
    </row>
    <row r="23">
      <c r="A23" s="33" t="inlineStr">
        <is>
          <t>SG is 12%. The batch % above is higher because the GL super accounts include sal sac super (25 Aug: $13,677 SG + $1,052 sal sac). Forecast uses 12% - the sal sac part comes off gross so it isn't counted twice.</t>
        </is>
      </c>
    </row>
    <row r="24"/>
    <row r="25">
      <c r="A25" s="2" t="inlineStr">
        <is>
          <t>Reference - payroll tax accruals this financial year</t>
        </is>
      </c>
    </row>
    <row r="26">
      <c r="A26" s="7" t="inlineStr">
        <is>
          <t>Month</t>
        </is>
      </c>
      <c r="B26" s="7" t="inlineStr">
        <is>
          <t>NSW</t>
        </is>
      </c>
      <c r="C26" s="7" t="inlineStr">
        <is>
          <t>Other states</t>
        </is>
      </c>
      <c r="D26" s="7" t="inlineStr">
        <is>
          <t>Total</t>
        </is>
      </c>
      <c r="E26" s="7" t="inlineStr">
        <is>
          <t>Source</t>
        </is>
      </c>
    </row>
    <row r="27">
      <c r="A27" s="20" t="inlineStr">
        <is>
          <t>July 2026</t>
        </is>
      </c>
      <c r="B27" s="38" t="n">
        <v>5170.8</v>
      </c>
      <c r="C27" s="38" t="n">
        <v>3000</v>
      </c>
      <c r="D27" s="21">
        <f>B27+C27</f>
        <v>8170.8</v>
      </c>
      <c r="E27" s="33" t="inlineStr">
        <is>
          <t>GL journals #68926 (NSW) and #68927 (other states)</t>
        </is>
      </c>
    </row>
    <row r="28">
      <c r="A28" s="20" t="inlineStr">
        <is>
          <t>August 2026</t>
        </is>
      </c>
      <c r="B28" s="38" t="n">
        <v>6295.07</v>
      </c>
      <c r="C28" s="38" t="n">
        <v>2700</v>
      </c>
      <c r="D28" s="21">
        <f>B28+C28</f>
        <v>8995.07</v>
      </c>
      <c r="E28" s="33" t="inlineStr">
        <is>
          <t>GL journals #69671 + #70351 (NSW) and #69670 (other states)</t>
        </is>
      </c>
    </row>
    <row r="29">
      <c r="A29" s="33" t="inlineStr">
        <is>
          <t>Budget has payroll tax at ~$7.4k a month but actuals are running ~$9k, so I've used actuals.</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K5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44" customWidth="1" min="3" max="3"/>
    <col width="12" customWidth="1" min="4" max="4"/>
    <col width="12" customWidth="1" min="5" max="5"/>
    <col width="14" customWidth="1" min="6" max="6"/>
    <col width="13" customWidth="1" min="7" max="7"/>
    <col width="16" customWidth="1" min="8" max="8"/>
    <col width="11" customWidth="1" min="9" max="9"/>
    <col width="8" customWidth="1" min="10" max="10"/>
    <col width="62" customWidth="1" min="11" max="11"/>
  </cols>
  <sheetData>
    <row r="1">
      <c r="A1" s="1" t="inlineStr">
        <is>
          <t>Receivables - every open invoice and when the cash is expected</t>
        </is>
      </c>
    </row>
    <row r="2">
      <c r="A2" s="33" t="inlineStr">
        <is>
          <t>Xero aged receivables at 28 Sep ($580,292.39, 38 invoices) plus the Sep contract invoices we still have to raise (from the repeating templates). Expected date (blue) is my call based on how each customer has been paying - change it and the forecast moves.</t>
        </is>
      </c>
    </row>
    <row r="3"/>
    <row r="4" ht="30" customHeight="1">
      <c r="A4" s="44" t="inlineStr">
        <is>
          <t>Customer</t>
        </is>
      </c>
      <c r="B4" s="44" t="inlineStr">
        <is>
          <t>Invoice</t>
        </is>
      </c>
      <c r="C4" s="44" t="inlineStr">
        <is>
          <t>Reference</t>
        </is>
      </c>
      <c r="D4" s="44" t="inlineStr">
        <is>
          <t>Invoice date</t>
        </is>
      </c>
      <c r="E4" s="44" t="inlineStr">
        <is>
          <t>Due date</t>
        </is>
      </c>
      <c r="F4" s="44" t="inlineStr">
        <is>
          <t>Amount (incl GST)</t>
        </is>
      </c>
      <c r="G4" s="44" t="inlineStr">
        <is>
          <t>Status</t>
        </is>
      </c>
      <c r="H4" s="44" t="inlineStr">
        <is>
          <t>Expected receipt date</t>
        </is>
      </c>
      <c r="I4" s="44" t="inlineStr">
        <is>
          <t>Days after due</t>
        </is>
      </c>
      <c r="J4" s="44" t="inlineStr">
        <is>
          <t>Week</t>
        </is>
      </c>
      <c r="K4" s="44" t="inlineStr">
        <is>
          <t>Why that date</t>
        </is>
      </c>
    </row>
    <row r="5">
      <c r="A5" s="20" t="inlineStr">
        <is>
          <t>APT Management Services (APA)</t>
        </is>
      </c>
      <c r="B5" s="20" t="inlineStr">
        <is>
          <t>INV-10622</t>
        </is>
      </c>
      <c r="C5" s="20" t="inlineStr">
        <is>
          <t>PO-00030884</t>
        </is>
      </c>
      <c r="D5" s="47" t="n">
        <v>46275</v>
      </c>
      <c r="E5" s="47" t="n">
        <v>46305</v>
      </c>
      <c r="F5" s="48" t="n">
        <v>4352.45</v>
      </c>
      <c r="G5" s="37" t="inlineStr">
        <is>
          <t>Current</t>
        </is>
      </c>
      <c r="H5" s="47" t="n">
        <v>46304</v>
      </c>
      <c r="I5" s="49">
        <f>H5-E5</f>
        <v>-1</v>
      </c>
      <c r="J5" s="20">
        <f>IF(H5&lt;Assumptions!$B$5,"Before",IF(H5&gt;Assumptions!$C$48,"After",INT((H5-Assumptions!$B$5)/7)+1))</f>
        <v>2</v>
      </c>
      <c r="K5" s="3" t="inlineStr">
        <is>
          <t>APA paid the last one the day after we sent it</t>
        </is>
      </c>
    </row>
    <row r="6">
      <c r="A6" s="20" t="inlineStr">
        <is>
          <t>APT Management Services (APA)</t>
        </is>
      </c>
      <c r="B6" s="20" t="inlineStr">
        <is>
          <t>INV-10628</t>
        </is>
      </c>
      <c r="C6" s="20" t="inlineStr">
        <is>
          <t>APA RUOK Event 10.09.2026</t>
        </is>
      </c>
      <c r="D6" s="47" t="n">
        <v>46281</v>
      </c>
      <c r="E6" s="47" t="n">
        <v>46311</v>
      </c>
      <c r="F6" s="48" t="n">
        <v>627</v>
      </c>
      <c r="G6" s="37" t="inlineStr">
        <is>
          <t>Current</t>
        </is>
      </c>
      <c r="H6" s="47" t="n">
        <v>46311</v>
      </c>
      <c r="I6" s="49">
        <f>H6-E6</f>
        <v>0</v>
      </c>
      <c r="J6" s="20">
        <f>IF(H6&lt;Assumptions!$B$5,"Before",IF(H6&gt;Assumptions!$C$48,"After",INT((H6-Assumptions!$B$5)/7)+1))</f>
        <v>3</v>
      </c>
      <c r="K6" s="3" t="inlineStr">
        <is>
          <t>On the due date</t>
        </is>
      </c>
    </row>
    <row r="7">
      <c r="A7" s="20" t="inlineStr">
        <is>
          <t>ASX Operations</t>
        </is>
      </c>
      <c r="B7" s="20" t="inlineStr">
        <is>
          <t>INV-10599</t>
        </is>
      </c>
      <c r="C7" s="20" t="inlineStr">
        <is>
          <t>ASX Employee Town Hall 13.08.2026</t>
        </is>
      </c>
      <c r="D7" s="47" t="n">
        <v>46261</v>
      </c>
      <c r="E7" s="47" t="n">
        <v>46291</v>
      </c>
      <c r="F7" s="48" t="n">
        <v>1661</v>
      </c>
      <c r="G7" s="37" t="inlineStr">
        <is>
          <t>Overdue</t>
        </is>
      </c>
      <c r="H7" s="47" t="n">
        <v>46297</v>
      </c>
      <c r="I7" s="49">
        <f>H7-E7</f>
        <v>6</v>
      </c>
      <c r="J7" s="20">
        <f>IF(H7&lt;Assumptions!$B$5,"Before",IF(H7&gt;Assumptions!$C$48,"After",INT((H7-Assumptions!$B$5)/7)+1))</f>
        <v>1</v>
      </c>
      <c r="K7" s="3" t="inlineStr">
        <is>
          <t>ASX paid the Aug ones ~4 days late</t>
        </is>
      </c>
    </row>
    <row r="8">
      <c r="A8" s="20" t="inlineStr">
        <is>
          <t>ASX Operations</t>
        </is>
      </c>
      <c r="B8" s="20" t="inlineStr">
        <is>
          <t>INV-10624</t>
        </is>
      </c>
      <c r="C8" s="20" t="inlineStr">
        <is>
          <t>ASX CEO Connect Series 01.09.2026</t>
        </is>
      </c>
      <c r="D8" s="47" t="n">
        <v>46280</v>
      </c>
      <c r="E8" s="47" t="n">
        <v>46310</v>
      </c>
      <c r="F8" s="48" t="n">
        <v>4591.4</v>
      </c>
      <c r="G8" s="37" t="inlineStr">
        <is>
          <t>Current</t>
        </is>
      </c>
      <c r="H8" s="47" t="n">
        <v>46311</v>
      </c>
      <c r="I8" s="49">
        <f>H8-E8</f>
        <v>1</v>
      </c>
      <c r="J8" s="20">
        <f>IF(H8&lt;Assumptions!$B$5,"Before",IF(H8&gt;Assumptions!$C$48,"After",INT((H8-Assumptions!$B$5)/7)+1))</f>
        <v>3</v>
      </c>
      <c r="K8" s="3" t="inlineStr">
        <is>
          <t>Due date plus a day</t>
        </is>
      </c>
    </row>
    <row r="9">
      <c r="A9" s="20" t="inlineStr">
        <is>
          <t>ASX Operations</t>
        </is>
      </c>
      <c r="B9" s="20" t="inlineStr">
        <is>
          <t>INV-10623</t>
        </is>
      </c>
      <c r="C9" s="20" t="inlineStr">
        <is>
          <t>ASX Live 01.09.2026</t>
        </is>
      </c>
      <c r="D9" s="47" t="n">
        <v>46280</v>
      </c>
      <c r="E9" s="47" t="n">
        <v>46310</v>
      </c>
      <c r="F9" s="48" t="n">
        <v>8544.799999999999</v>
      </c>
      <c r="G9" s="37" t="inlineStr">
        <is>
          <t>Current</t>
        </is>
      </c>
      <c r="H9" s="47" t="n">
        <v>46311</v>
      </c>
      <c r="I9" s="49">
        <f>H9-E9</f>
        <v>1</v>
      </c>
      <c r="J9" s="20">
        <f>IF(H9&lt;Assumptions!$B$5,"Before",IF(H9&gt;Assumptions!$C$48,"After",INT((H9-Assumptions!$B$5)/7)+1))</f>
        <v>3</v>
      </c>
      <c r="K9" s="3" t="inlineStr">
        <is>
          <t>Due date plus a day</t>
        </is>
      </c>
    </row>
    <row r="10">
      <c r="A10" s="20" t="inlineStr">
        <is>
          <t>Australian Payments Network</t>
        </is>
      </c>
      <c r="B10" s="20" t="inlineStr">
        <is>
          <t>INV-10574</t>
        </is>
      </c>
      <c r="C10" s="20" t="inlineStr">
        <is>
          <t>Logitech room licence renewal</t>
        </is>
      </c>
      <c r="D10" s="47" t="n">
        <v>46254</v>
      </c>
      <c r="E10" s="47" t="n">
        <v>46284</v>
      </c>
      <c r="F10" s="48" t="n">
        <v>1092.3</v>
      </c>
      <c r="G10" s="37" t="inlineStr">
        <is>
          <t>Overdue</t>
        </is>
      </c>
      <c r="H10" s="47" t="n">
        <v>46297</v>
      </c>
      <c r="I10" s="49">
        <f>H10-E10</f>
        <v>13</v>
      </c>
      <c r="J10" s="20">
        <f>IF(H10&lt;Assumptions!$B$5,"Before",IF(H10&gt;Assumptions!$C$48,"After",INT((H10-Assumptions!$B$5)/7)+1))</f>
        <v>1</v>
      </c>
      <c r="K10" s="3" t="inlineStr">
        <is>
          <t>Small and overdue - chase this week</t>
        </is>
      </c>
    </row>
    <row r="11">
      <c r="A11" s="20" t="inlineStr">
        <is>
          <t>Aware Super</t>
        </is>
      </c>
      <c r="B11" s="20" t="inlineStr">
        <is>
          <t>INV-10583</t>
        </is>
      </c>
      <c r="C11" s="20" t="inlineStr">
        <is>
          <t>Annual National Maintenance (Aug)</t>
        </is>
      </c>
      <c r="D11" s="47" t="n">
        <v>46265</v>
      </c>
      <c r="E11" s="47" t="n">
        <v>46295</v>
      </c>
      <c r="F11" s="48" t="n">
        <v>12100</v>
      </c>
      <c r="G11" s="37" t="inlineStr">
        <is>
          <t>Current</t>
        </is>
      </c>
      <c r="H11" s="47" t="n">
        <v>46295</v>
      </c>
      <c r="I11" s="49">
        <f>H11-E11</f>
        <v>0</v>
      </c>
      <c r="J11" s="20">
        <f>IF(H11&lt;Assumptions!$B$5,"Before",IF(H11&gt;Assumptions!$C$48,"After",INT((H11-Assumptions!$B$5)/7)+1))</f>
        <v>1</v>
      </c>
      <c r="K11" s="3" t="inlineStr">
        <is>
          <t>Aware pay on the due date</t>
        </is>
      </c>
    </row>
    <row r="12">
      <c r="A12" s="20" t="inlineStr">
        <is>
          <t>Aware Super</t>
        </is>
      </c>
      <c r="B12" s="20" t="inlineStr">
        <is>
          <t>INV-10596</t>
        </is>
      </c>
      <c r="C12" s="20" t="inlineStr">
        <is>
          <t>Seminar Room AV Upgrade</t>
        </is>
      </c>
      <c r="D12" s="47" t="n">
        <v>46274</v>
      </c>
      <c r="E12" s="47" t="n">
        <v>46304</v>
      </c>
      <c r="F12" s="48" t="n">
        <v>225887.4</v>
      </c>
      <c r="G12" s="37" t="inlineStr">
        <is>
          <t>Current</t>
        </is>
      </c>
      <c r="H12" s="50" t="n">
        <v>46304</v>
      </c>
      <c r="I12" s="49">
        <f>H12-E12</f>
        <v>0</v>
      </c>
      <c r="J12" s="20">
        <f>IF(H12&lt;Assumptions!$B$5,"Before",IF(H12&gt;Assumptions!$C$48,"After",INT((H12-Assumptions!$B$5)/7)+1))</f>
        <v>2</v>
      </c>
      <c r="K12" s="3" t="inlineStr">
        <is>
          <t>THE BIG ONE. Complete AV materials ($136,163) is going out this week ahead of it - chase Aware so it lands on time.</t>
        </is>
      </c>
    </row>
    <row r="13">
      <c r="A13" s="20" t="inlineStr">
        <is>
          <t>Aware Super</t>
        </is>
      </c>
      <c r="B13" s="20" t="inlineStr">
        <is>
          <t>INV-10635</t>
        </is>
      </c>
      <c r="C13" s="20" t="inlineStr">
        <is>
          <t>Appspace licensing subscription (12 months)</t>
        </is>
      </c>
      <c r="D13" s="47" t="n">
        <v>46283</v>
      </c>
      <c r="E13" s="47" t="n">
        <v>46313</v>
      </c>
      <c r="F13" s="48" t="n">
        <v>23317.11</v>
      </c>
      <c r="G13" s="37" t="inlineStr">
        <is>
          <t>Current</t>
        </is>
      </c>
      <c r="H13" s="47" t="n">
        <v>46311</v>
      </c>
      <c r="I13" s="49">
        <f>H13-E13</f>
        <v>-2</v>
      </c>
      <c r="J13" s="20">
        <f>IF(H13&lt;Assumptions!$B$5,"Before",IF(H13&gt;Assumptions!$C$48,"After",INT((H13-Assumptions!$B$5)/7)+1))</f>
        <v>3</v>
      </c>
      <c r="K13" s="3" t="inlineStr">
        <is>
          <t>Due Sun 18 Oct so Fri 16 Oct. Covers the Appspace bill ($20,985) due 24 Oct.</t>
        </is>
      </c>
    </row>
    <row r="14">
      <c r="A14" s="20" t="inlineStr">
        <is>
          <t>Aware Super</t>
        </is>
      </c>
      <c r="B14" s="20" t="inlineStr">
        <is>
          <t>INV-10646</t>
        </is>
      </c>
      <c r="C14" s="20" t="inlineStr">
        <is>
          <t>Perth office BYOD USB-C replacement</t>
        </is>
      </c>
      <c r="D14" s="47" t="n">
        <v>46289</v>
      </c>
      <c r="E14" s="47" t="n">
        <v>46319</v>
      </c>
      <c r="F14" s="48" t="n">
        <v>3252.7</v>
      </c>
      <c r="G14" s="37" t="inlineStr">
        <is>
          <t>Current</t>
        </is>
      </c>
      <c r="H14" s="47" t="n">
        <v>46318</v>
      </c>
      <c r="I14" s="49">
        <f>H14-E14</f>
        <v>-1</v>
      </c>
      <c r="J14" s="20">
        <f>IF(H14&lt;Assumptions!$B$5,"Before",IF(H14&gt;Assumptions!$C$48,"After",INT((H14-Assumptions!$B$5)/7)+1))</f>
        <v>4</v>
      </c>
      <c r="K14" s="3" t="inlineStr">
        <is>
          <t>Due Sat 24 Oct - call it Fri 23 Oct</t>
        </is>
      </c>
    </row>
    <row r="15">
      <c r="A15" s="20" t="inlineStr">
        <is>
          <t>Aware Super</t>
        </is>
      </c>
      <c r="B15" s="20" t="inlineStr">
        <is>
          <t>INV-10619</t>
        </is>
      </c>
      <c r="C15" s="20" t="inlineStr">
        <is>
          <t>Sydney 24.16 UC Engine remediation variation</t>
        </is>
      </c>
      <c r="D15" s="47" t="n">
        <v>46290</v>
      </c>
      <c r="E15" s="47" t="n">
        <v>46320</v>
      </c>
      <c r="F15" s="48" t="n">
        <v>738.1</v>
      </c>
      <c r="G15" s="37" t="inlineStr">
        <is>
          <t>Current</t>
        </is>
      </c>
      <c r="H15" s="47" t="n">
        <v>46318</v>
      </c>
      <c r="I15" s="49">
        <f>H15-E15</f>
        <v>-2</v>
      </c>
      <c r="J15" s="20">
        <f>IF(H15&lt;Assumptions!$B$5,"Before",IF(H15&gt;Assumptions!$C$48,"After",INT((H15-Assumptions!$B$5)/7)+1))</f>
        <v>4</v>
      </c>
      <c r="K15" s="3" t="inlineStr">
        <is>
          <t>Due Sun 25 Oct - call it Fri 23 Oct</t>
        </is>
      </c>
    </row>
    <row r="16">
      <c r="A16" s="20" t="inlineStr">
        <is>
          <t>Downer EDI</t>
        </is>
      </c>
      <c r="B16" s="20" t="inlineStr">
        <is>
          <t>INV-10587</t>
        </is>
      </c>
      <c r="C16" s="20" t="inlineStr">
        <is>
          <t>Full Year Results Briefing 20.08.2026</t>
        </is>
      </c>
      <c r="D16" s="47" t="n">
        <v>46259</v>
      </c>
      <c r="E16" s="47" t="n">
        <v>46289</v>
      </c>
      <c r="F16" s="48" t="n">
        <v>12808.69</v>
      </c>
      <c r="G16" s="37" t="inlineStr">
        <is>
          <t>Overdue</t>
        </is>
      </c>
      <c r="H16" s="47" t="n">
        <v>46297</v>
      </c>
      <c r="I16" s="49">
        <f>H16-E16</f>
        <v>8</v>
      </c>
      <c r="J16" s="20">
        <f>IF(H16&lt;Assumptions!$B$5,"Before",IF(H16&gt;Assumptions!$C$48,"After",INT((H16-Assumptions!$B$5)/7)+1))</f>
        <v>1</v>
      </c>
      <c r="K16" s="3" t="inlineStr">
        <is>
          <t>4 days overdue - should land this week</t>
        </is>
      </c>
    </row>
    <row r="17">
      <c r="A17" s="20" t="inlineStr">
        <is>
          <t>Downer EDI</t>
        </is>
      </c>
      <c r="B17" s="20" t="inlineStr">
        <is>
          <t>INV-10611</t>
        </is>
      </c>
      <c r="C17" s="20" t="inlineStr">
        <is>
          <t>Full Year Employee Briefing 25.08.2026</t>
        </is>
      </c>
      <c r="D17" s="47" t="n">
        <v>46265</v>
      </c>
      <c r="E17" s="47" t="n">
        <v>46295</v>
      </c>
      <c r="F17" s="48" t="n">
        <v>26855.13</v>
      </c>
      <c r="G17" s="37" t="inlineStr">
        <is>
          <t>Current</t>
        </is>
      </c>
      <c r="H17" s="47" t="n">
        <v>46302</v>
      </c>
      <c r="I17" s="49">
        <f>H17-E17</f>
        <v>7</v>
      </c>
      <c r="J17" s="20">
        <f>IF(H17&lt;Assumptions!$B$5,"Before",IF(H17&gt;Assumptions!$C$48,"After",INT((H17-Assumptions!$B$5)/7)+1))</f>
        <v>2</v>
      </c>
      <c r="K17" s="3" t="inlineStr">
        <is>
          <t>Due 30 Sep, give it a week</t>
        </is>
      </c>
    </row>
    <row r="18">
      <c r="A18" s="20" t="inlineStr">
        <is>
          <t>Generation-e Productivity Solutions</t>
        </is>
      </c>
      <c r="B18" s="20" t="inlineStr">
        <is>
          <t>INV-10532</t>
        </is>
      </c>
      <c r="C18" s="20" t="inlineStr">
        <is>
          <t>PAU26-407 (Jul)</t>
        </is>
      </c>
      <c r="D18" s="47" t="n">
        <v>46234</v>
      </c>
      <c r="E18" s="47" t="n">
        <v>46264</v>
      </c>
      <c r="F18" s="48" t="n">
        <v>13627.68</v>
      </c>
      <c r="G18" s="37" t="inlineStr">
        <is>
          <t>Overdue</t>
        </is>
      </c>
      <c r="H18" s="47" t="n">
        <v>46302</v>
      </c>
      <c r="I18" s="49">
        <f>H18-E18</f>
        <v>38</v>
      </c>
      <c r="J18" s="20">
        <f>IF(H18&lt;Assumptions!$B$5,"Before",IF(H18&gt;Assumptions!$C$48,"After",INT((H18-Assumptions!$B$5)/7)+1))</f>
        <v>2</v>
      </c>
      <c r="K18" s="3" t="inlineStr">
        <is>
          <t>A month overdue - chase. Week 2.</t>
        </is>
      </c>
    </row>
    <row r="19">
      <c r="A19" s="20" t="inlineStr">
        <is>
          <t>Generation-e Productivity Solutions</t>
        </is>
      </c>
      <c r="B19" s="20" t="inlineStr">
        <is>
          <t>INV-10573</t>
        </is>
      </c>
      <c r="C19" s="20" t="inlineStr">
        <is>
          <t>PAU26-407 (Aug)</t>
        </is>
      </c>
      <c r="D19" s="47" t="n">
        <v>46265</v>
      </c>
      <c r="E19" s="47" t="n">
        <v>46295</v>
      </c>
      <c r="F19" s="48" t="n">
        <v>13627.68</v>
      </c>
      <c r="G19" s="37" t="inlineStr">
        <is>
          <t>Current</t>
        </is>
      </c>
      <c r="H19" s="47" t="n">
        <v>46316</v>
      </c>
      <c r="I19" s="49">
        <f>H19-E19</f>
        <v>21</v>
      </c>
      <c r="J19" s="20">
        <f>IF(H19&lt;Assumptions!$B$5,"Before",IF(H19&gt;Assumptions!$C$48,"After",INT((H19-Assumptions!$B$5)/7)+1))</f>
        <v>4</v>
      </c>
      <c r="K19" s="3" t="inlineStr">
        <is>
          <t>Slow payers - 3 weeks after due</t>
        </is>
      </c>
    </row>
    <row r="20">
      <c r="A20" s="20" t="inlineStr">
        <is>
          <t>ICC Sydney</t>
        </is>
      </c>
      <c r="B20" s="20" t="inlineStr">
        <is>
          <t>INV-10630</t>
        </is>
      </c>
      <c r="C20" s="20" t="inlineStr">
        <is>
          <t>Speaker presentation technicians - ICAS 2026</t>
        </is>
      </c>
      <c r="D20" s="47" t="n">
        <v>46281</v>
      </c>
      <c r="E20" s="47" t="n">
        <v>46311</v>
      </c>
      <c r="F20" s="48" t="n">
        <v>1040.88</v>
      </c>
      <c r="G20" s="37" t="inlineStr">
        <is>
          <t>Current</t>
        </is>
      </c>
      <c r="H20" s="47" t="n">
        <v>46311</v>
      </c>
      <c r="I20" s="49">
        <f>H20-E20</f>
        <v>0</v>
      </c>
      <c r="J20" s="20">
        <f>IF(H20&lt;Assumptions!$B$5,"Before",IF(H20&gt;Assumptions!$C$48,"After",INT((H20-Assumptions!$B$5)/7)+1))</f>
        <v>3</v>
      </c>
      <c r="K20" s="3" t="inlineStr">
        <is>
          <t>On the due date</t>
        </is>
      </c>
    </row>
    <row r="21">
      <c r="A21" s="20" t="inlineStr">
        <is>
          <t>ICC Sydney</t>
        </is>
      </c>
      <c r="B21" s="20" t="inlineStr">
        <is>
          <t>INV-10633</t>
        </is>
      </c>
      <c r="C21" s="20" t="inlineStr">
        <is>
          <t>Speaker presentation technicians - ISE</t>
        </is>
      </c>
      <c r="D21" s="47" t="n">
        <v>46281</v>
      </c>
      <c r="E21" s="47" t="n">
        <v>46311</v>
      </c>
      <c r="F21" s="48" t="n">
        <v>5131.51</v>
      </c>
      <c r="G21" s="37" t="inlineStr">
        <is>
          <t>Current</t>
        </is>
      </c>
      <c r="H21" s="47" t="n">
        <v>46311</v>
      </c>
      <c r="I21" s="49">
        <f>H21-E21</f>
        <v>0</v>
      </c>
      <c r="J21" s="20">
        <f>IF(H21&lt;Assumptions!$B$5,"Before",IF(H21&gt;Assumptions!$C$48,"After",INT((H21-Assumptions!$B$5)/7)+1))</f>
        <v>3</v>
      </c>
      <c r="K21" s="3" t="inlineStr">
        <is>
          <t>On the due date</t>
        </is>
      </c>
    </row>
    <row r="22">
      <c r="A22" s="20" t="inlineStr">
        <is>
          <t>Jaazaniah Salanoa (staff)</t>
        </is>
      </c>
      <c r="B22" s="20" t="inlineStr">
        <is>
          <t>INV-10621</t>
        </is>
      </c>
      <c r="C22" s="20" t="inlineStr">
        <is>
          <t>Goget hire recovery</t>
        </is>
      </c>
      <c r="D22" s="47" t="n">
        <v>46265</v>
      </c>
      <c r="E22" s="47" t="n">
        <v>46295</v>
      </c>
      <c r="F22" s="48" t="n">
        <v>66.64</v>
      </c>
      <c r="G22" s="37" t="inlineStr">
        <is>
          <t>Current</t>
        </is>
      </c>
      <c r="H22" s="47" t="n">
        <v>46301</v>
      </c>
      <c r="I22" s="49">
        <f>H22-E22</f>
        <v>6</v>
      </c>
      <c r="J22" s="20">
        <f>IF(H22&lt;Assumptions!$B$5,"Before",IF(H22&gt;Assumptions!$C$48,"After",INT((H22-Assumptions!$B$5)/7)+1))</f>
        <v>2</v>
      </c>
      <c r="K22" s="3" t="inlineStr">
        <is>
          <t>Staff recovery - probably through payroll</t>
        </is>
      </c>
    </row>
    <row r="23">
      <c r="A23" s="20" t="inlineStr">
        <is>
          <t>Meet Magic</t>
        </is>
      </c>
      <c r="B23" s="20" t="inlineStr">
        <is>
          <t>INV-10464</t>
        </is>
      </c>
      <c r="C23" s="20" t="inlineStr">
        <is>
          <t>Human AI Event highlight videos 29.05.2026</t>
        </is>
      </c>
      <c r="D23" s="47" t="n">
        <v>46192</v>
      </c>
      <c r="E23" s="47" t="n">
        <v>46199</v>
      </c>
      <c r="F23" s="48" t="n">
        <v>5075.07</v>
      </c>
      <c r="G23" s="37" t="inlineStr">
        <is>
          <t>Overdue 3 months</t>
        </is>
      </c>
      <c r="H23" s="47" t="n">
        <v>46356</v>
      </c>
      <c r="I23" s="49">
        <f>H23-E23</f>
        <v>157</v>
      </c>
      <c r="J23" s="20" t="str">
        <f>IF(H23&lt;Assumptions!$B$5,"Before",IF(H23&gt;Assumptions!$C$48,"After",INT((H23-Assumptions!$B$5)/7)+1))</f>
        <v>After</v>
      </c>
      <c r="K23" s="3" t="inlineStr">
        <is>
          <t>DOUBTFUL - 3 months overdue. Left out of Oct. Needs escalating.</t>
        </is>
      </c>
    </row>
    <row r="24">
      <c r="A24" s="20" t="inlineStr">
        <is>
          <t>Microsoft</t>
        </is>
      </c>
      <c r="B24" s="20" t="inlineStr">
        <is>
          <t>INV-10554</t>
        </is>
      </c>
      <c r="C24" s="20" t="inlineStr">
        <is>
          <t>PO 10160645</t>
        </is>
      </c>
      <c r="D24" s="47" t="n">
        <v>46234</v>
      </c>
      <c r="E24" s="47" t="n">
        <v>46264</v>
      </c>
      <c r="F24" s="48" t="n">
        <v>13845.7</v>
      </c>
      <c r="G24" s="37" t="inlineStr">
        <is>
          <t>Overdue</t>
        </is>
      </c>
      <c r="H24" s="47" t="n">
        <v>46302</v>
      </c>
      <c r="I24" s="49">
        <f>H24-E24</f>
        <v>38</v>
      </c>
      <c r="J24" s="20">
        <f>IF(H24&lt;Assumptions!$B$5,"Before",IF(H24&gt;Assumptions!$C$48,"After",INT((H24-Assumptions!$B$5)/7)+1))</f>
        <v>2</v>
      </c>
      <c r="K24" s="3" t="inlineStr">
        <is>
          <t>A month overdue - usually a PO / portal issue. Week 2.</t>
        </is>
      </c>
    </row>
    <row r="25">
      <c r="A25" s="20" t="inlineStr">
        <is>
          <t>ON24</t>
        </is>
      </c>
      <c r="B25" s="20" t="inlineStr">
        <is>
          <t>INV-10552</t>
        </is>
      </c>
      <c r="C25" s="20" t="inlineStr">
        <is>
          <t>PO #25962 (Jul)</t>
        </is>
      </c>
      <c r="D25" s="47" t="n">
        <v>46234</v>
      </c>
      <c r="E25" s="47" t="n">
        <v>46264</v>
      </c>
      <c r="F25" s="48" t="n">
        <v>2832.5</v>
      </c>
      <c r="G25" s="37" t="inlineStr">
        <is>
          <t>Overdue</t>
        </is>
      </c>
      <c r="H25" s="47" t="n">
        <v>46302</v>
      </c>
      <c r="I25" s="49">
        <f>H25-E25</f>
        <v>38</v>
      </c>
      <c r="J25" s="20">
        <f>IF(H25&lt;Assumptions!$B$5,"Before",IF(H25&gt;Assumptions!$C$48,"After",INT((H25-Assumptions!$B$5)/7)+1))</f>
        <v>2</v>
      </c>
      <c r="K25" s="3" t="inlineStr">
        <is>
          <t>A month overdue - chase</t>
        </is>
      </c>
    </row>
    <row r="26">
      <c r="A26" s="20" t="inlineStr">
        <is>
          <t>ON24</t>
        </is>
      </c>
      <c r="B26" s="20" t="inlineStr">
        <is>
          <t>INV-10589</t>
        </is>
      </c>
      <c r="C26" s="20" t="inlineStr">
        <is>
          <t>PO25962 (Aug)</t>
        </is>
      </c>
      <c r="D26" s="47" t="n">
        <v>46260</v>
      </c>
      <c r="E26" s="47" t="n">
        <v>46290</v>
      </c>
      <c r="F26" s="48" t="n">
        <v>3005.75</v>
      </c>
      <c r="G26" s="37" t="inlineStr">
        <is>
          <t>Overdue</t>
        </is>
      </c>
      <c r="H26" s="47" t="n">
        <v>46302</v>
      </c>
      <c r="I26" s="49">
        <f>H26-E26</f>
        <v>12</v>
      </c>
      <c r="J26" s="20">
        <f>IF(H26&lt;Assumptions!$B$5,"Before",IF(H26&gt;Assumptions!$C$48,"After",INT((H26-Assumptions!$B$5)/7)+1))</f>
        <v>2</v>
      </c>
      <c r="K26" s="3" t="inlineStr">
        <is>
          <t>Assume it comes with the July one</t>
        </is>
      </c>
    </row>
    <row r="27">
      <c r="A27" s="20" t="inlineStr">
        <is>
          <t>Property NSW</t>
        </is>
      </c>
      <c r="B27" s="20" t="inlineStr">
        <is>
          <t>INV-10396</t>
        </is>
      </c>
      <c r="C27" s="20" t="inlineStr">
        <is>
          <t>Penrith BDA Condeco desk booking (PO20285637)</t>
        </is>
      </c>
      <c r="D27" s="47" t="n">
        <v>46148</v>
      </c>
      <c r="E27" s="47" t="n">
        <v>46178</v>
      </c>
      <c r="F27" s="48" t="n">
        <v>19733.45</v>
      </c>
      <c r="G27" s="37" t="inlineStr">
        <is>
          <t>Overdue 3 months</t>
        </is>
      </c>
      <c r="H27" s="47" t="n">
        <v>46356</v>
      </c>
      <c r="I27" s="49">
        <f>H27-E27</f>
        <v>178</v>
      </c>
      <c r="J27" s="20" t="str">
        <f>IF(H27&lt;Assumptions!$B$5,"Before",IF(H27&gt;Assumptions!$C$48,"After",INT((H27-Assumptions!$B$5)/7)+1))</f>
        <v>After</v>
      </c>
      <c r="K27" s="3" t="inlineStr">
        <is>
          <t>DOUBTFUL - nearly 4 months overdue. Left out of Oct. Needs escalating.</t>
        </is>
      </c>
    </row>
    <row r="28">
      <c r="A28" s="20" t="inlineStr">
        <is>
          <t>PwC Services</t>
        </is>
      </c>
      <c r="B28" s="20" t="inlineStr">
        <is>
          <t>INV-10535</t>
        </is>
      </c>
      <c r="C28" s="20" t="inlineStr">
        <is>
          <t>PO2601702104 (Jul)</t>
        </is>
      </c>
      <c r="D28" s="47" t="n">
        <v>46234</v>
      </c>
      <c r="E28" s="47" t="n">
        <v>46264</v>
      </c>
      <c r="F28" s="48" t="n">
        <v>13097.7</v>
      </c>
      <c r="G28" s="37" t="inlineStr">
        <is>
          <t>Overdue</t>
        </is>
      </c>
      <c r="H28" s="47" t="n">
        <v>46302</v>
      </c>
      <c r="I28" s="49">
        <f>H28-E28</f>
        <v>38</v>
      </c>
      <c r="J28" s="20">
        <f>IF(H28&lt;Assumptions!$B$5,"Before",IF(H28&gt;Assumptions!$C$48,"After",INT((H28-Assumptions!$B$5)/7)+1))</f>
        <v>2</v>
      </c>
      <c r="K28" s="3" t="inlineStr">
        <is>
          <t>A month overdue. PwC paid INV-10577 on the day, so these two look like PO issues - chase</t>
        </is>
      </c>
    </row>
    <row r="29">
      <c r="A29" s="20" t="inlineStr">
        <is>
          <t>PwC Services</t>
        </is>
      </c>
      <c r="B29" s="20" t="inlineStr">
        <is>
          <t>INV-10531</t>
        </is>
      </c>
      <c r="C29" s="20" t="inlineStr">
        <is>
          <t>PO2601702371 (Jul)</t>
        </is>
      </c>
      <c r="D29" s="47" t="n">
        <v>46234</v>
      </c>
      <c r="E29" s="47" t="n">
        <v>46264</v>
      </c>
      <c r="F29" s="48" t="n">
        <v>7865</v>
      </c>
      <c r="G29" s="37" t="inlineStr">
        <is>
          <t>Overdue</t>
        </is>
      </c>
      <c r="H29" s="47" t="n">
        <v>46302</v>
      </c>
      <c r="I29" s="49">
        <f>H29-E29</f>
        <v>38</v>
      </c>
      <c r="J29" s="20">
        <f>IF(H29&lt;Assumptions!$B$5,"Before",IF(H29&gt;Assumptions!$C$48,"After",INT((H29-Assumptions!$B$5)/7)+1))</f>
        <v>2</v>
      </c>
      <c r="K29" s="3" t="inlineStr">
        <is>
          <t>Same</t>
        </is>
      </c>
    </row>
    <row r="30">
      <c r="A30" s="20" t="inlineStr">
        <is>
          <t>PwC Services</t>
        </is>
      </c>
      <c r="B30" s="20" t="inlineStr">
        <is>
          <t>INV-10598</t>
        </is>
      </c>
      <c r="C30" s="20" t="inlineStr">
        <is>
          <t>PO2601703509</t>
        </is>
      </c>
      <c r="D30" s="47" t="n">
        <v>46265</v>
      </c>
      <c r="E30" s="47" t="n">
        <v>46295</v>
      </c>
      <c r="F30" s="48" t="n">
        <v>9350</v>
      </c>
      <c r="G30" s="37" t="inlineStr">
        <is>
          <t>Current</t>
        </is>
      </c>
      <c r="H30" s="47" t="n">
        <v>46309</v>
      </c>
      <c r="I30" s="49">
        <f>H30-E30</f>
        <v>14</v>
      </c>
      <c r="J30" s="20">
        <f>IF(H30&lt;Assumptions!$B$5,"Before",IF(H30&gt;Assumptions!$C$48,"After",INT((H30-Assumptions!$B$5)/7)+1))</f>
        <v>3</v>
      </c>
      <c r="K30" s="3" t="inlineStr">
        <is>
          <t>Give it two weeks after due</t>
        </is>
      </c>
    </row>
    <row r="31">
      <c r="A31" s="20" t="inlineStr">
        <is>
          <t>PwC Services</t>
        </is>
      </c>
      <c r="B31" s="20" t="inlineStr">
        <is>
          <t>INV-10572</t>
        </is>
      </c>
      <c r="C31" s="20" t="inlineStr">
        <is>
          <t>PO2601702371 (Aug)</t>
        </is>
      </c>
      <c r="D31" s="47" t="n">
        <v>46265</v>
      </c>
      <c r="E31" s="47" t="n">
        <v>46295</v>
      </c>
      <c r="F31" s="48" t="n">
        <v>7865</v>
      </c>
      <c r="G31" s="37" t="inlineStr">
        <is>
          <t>Current</t>
        </is>
      </c>
      <c r="H31" s="47" t="n">
        <v>46309</v>
      </c>
      <c r="I31" s="49">
        <f>H31-E31</f>
        <v>14</v>
      </c>
      <c r="J31" s="20">
        <f>IF(H31&lt;Assumptions!$B$5,"Before",IF(H31&gt;Assumptions!$C$48,"After",INT((H31-Assumptions!$B$5)/7)+1))</f>
        <v>3</v>
      </c>
      <c r="K31" s="3" t="inlineStr">
        <is>
          <t>Give it two weeks after due</t>
        </is>
      </c>
    </row>
    <row r="32">
      <c r="A32" s="20" t="inlineStr">
        <is>
          <t>PwC Services</t>
        </is>
      </c>
      <c r="B32" s="20" t="inlineStr">
        <is>
          <t>INV-10585</t>
        </is>
      </c>
      <c r="C32" s="20" t="inlineStr">
        <is>
          <t>PO2601702104 (Aug)</t>
        </is>
      </c>
      <c r="D32" s="47" t="n">
        <v>46265</v>
      </c>
      <c r="E32" s="47" t="n">
        <v>46295</v>
      </c>
      <c r="F32" s="48" t="n">
        <v>13097.7</v>
      </c>
      <c r="G32" s="37" t="inlineStr">
        <is>
          <t>Current</t>
        </is>
      </c>
      <c r="H32" s="47" t="n">
        <v>46309</v>
      </c>
      <c r="I32" s="49">
        <f>H32-E32</f>
        <v>14</v>
      </c>
      <c r="J32" s="20">
        <f>IF(H32&lt;Assumptions!$B$5,"Before",IF(H32&gt;Assumptions!$C$48,"After",INT((H32-Assumptions!$B$5)/7)+1))</f>
        <v>3</v>
      </c>
      <c r="K32" s="3" t="inlineStr">
        <is>
          <t>Give it two weeks after due</t>
        </is>
      </c>
    </row>
    <row r="33">
      <c r="A33" s="20" t="inlineStr">
        <is>
          <t>Ricoh Australia</t>
        </is>
      </c>
      <c r="B33" s="20" t="inlineStr">
        <is>
          <t>INV-10618</t>
        </is>
      </c>
      <c r="C33" s="20" t="inlineStr">
        <is>
          <t>CONTRACT (Aug)</t>
        </is>
      </c>
      <c r="D33" s="47" t="n">
        <v>46265</v>
      </c>
      <c r="E33" s="47" t="n">
        <v>46295</v>
      </c>
      <c r="F33" s="48" t="n">
        <v>13046.62</v>
      </c>
      <c r="G33" s="37" t="inlineStr">
        <is>
          <t>Current</t>
        </is>
      </c>
      <c r="H33" s="47" t="n">
        <v>46302</v>
      </c>
      <c r="I33" s="49">
        <f>H33-E33</f>
        <v>7</v>
      </c>
      <c r="J33" s="20">
        <f>IF(H33&lt;Assumptions!$B$5,"Before",IF(H33&gt;Assumptions!$C$48,"After",INT((H33-Assumptions!$B$5)/7)+1))</f>
        <v>2</v>
      </c>
      <c r="K33" s="3" t="inlineStr">
        <is>
          <t>Give it a week</t>
        </is>
      </c>
    </row>
    <row r="34">
      <c r="A34" s="20" t="inlineStr">
        <is>
          <t>Ricoh Australia</t>
        </is>
      </c>
      <c r="B34" s="20" t="inlineStr">
        <is>
          <t>INV-10620</t>
        </is>
      </c>
      <c r="C34" s="20" t="inlineStr">
        <is>
          <t>SHELL AV Support</t>
        </is>
      </c>
      <c r="D34" s="47" t="n">
        <v>46268</v>
      </c>
      <c r="E34" s="47" t="n">
        <v>46298</v>
      </c>
      <c r="F34" s="48" t="n">
        <v>374</v>
      </c>
      <c r="G34" s="37" t="inlineStr">
        <is>
          <t>Current</t>
        </is>
      </c>
      <c r="H34" s="47" t="n">
        <v>46302</v>
      </c>
      <c r="I34" s="49">
        <f>H34-E34</f>
        <v>4</v>
      </c>
      <c r="J34" s="20">
        <f>IF(H34&lt;Assumptions!$B$5,"Before",IF(H34&gt;Assumptions!$C$48,"After",INT((H34-Assumptions!$B$5)/7)+1))</f>
        <v>2</v>
      </c>
      <c r="K34" s="3" t="inlineStr">
        <is>
          <t>Give it a week</t>
        </is>
      </c>
    </row>
    <row r="35">
      <c r="A35" s="20" t="inlineStr">
        <is>
          <t>The CEO Institute</t>
        </is>
      </c>
      <c r="B35" s="20" t="inlineStr">
        <is>
          <t>INV-10581</t>
        </is>
      </c>
      <c r="C35" s="20" t="inlineStr">
        <is>
          <t>CEO Connect 2026 11.8.26</t>
        </is>
      </c>
      <c r="D35" s="47" t="n">
        <v>46255</v>
      </c>
      <c r="E35" s="47" t="n">
        <v>46285</v>
      </c>
      <c r="F35" s="48" t="n">
        <v>9086.389999999999</v>
      </c>
      <c r="G35" s="37" t="inlineStr">
        <is>
          <t>Overdue</t>
        </is>
      </c>
      <c r="H35" s="47" t="n">
        <v>46297</v>
      </c>
      <c r="I35" s="49">
        <f>H35-E35</f>
        <v>12</v>
      </c>
      <c r="J35" s="20">
        <f>IF(H35&lt;Assumptions!$B$5,"Before",IF(H35&gt;Assumptions!$C$48,"After",INT((H35-Assumptions!$B$5)/7)+1))</f>
        <v>1</v>
      </c>
      <c r="K35" s="3" t="inlineStr">
        <is>
          <t>8 days overdue - this week</t>
        </is>
      </c>
    </row>
    <row r="36">
      <c r="A36" s="20" t="inlineStr">
        <is>
          <t>Vega Global Australia</t>
        </is>
      </c>
      <c r="B36" s="20" t="inlineStr">
        <is>
          <t>INV-10647</t>
        </is>
      </c>
      <c r="C36" s="20" t="inlineStr">
        <is>
          <t>Payments &amp; Securities Forums 14-17.9.26</t>
        </is>
      </c>
      <c r="D36" s="47" t="n">
        <v>46287</v>
      </c>
      <c r="E36" s="47" t="n">
        <v>46317</v>
      </c>
      <c r="F36" s="48" t="n">
        <v>1969</v>
      </c>
      <c r="G36" s="37" t="inlineStr">
        <is>
          <t>Current</t>
        </is>
      </c>
      <c r="H36" s="47" t="n">
        <v>46317</v>
      </c>
      <c r="I36" s="49">
        <f>H36-E36</f>
        <v>0</v>
      </c>
      <c r="J36" s="20">
        <f>IF(H36&lt;Assumptions!$B$5,"Before",IF(H36&gt;Assumptions!$C$48,"After",INT((H36-Assumptions!$B$5)/7)+1))</f>
        <v>4</v>
      </c>
      <c r="K36" s="3" t="inlineStr">
        <is>
          <t>On the due date</t>
        </is>
      </c>
    </row>
    <row r="37">
      <c r="A37" s="20" t="inlineStr">
        <is>
          <t>Ventia</t>
        </is>
      </c>
      <c r="B37" s="20" t="inlineStr">
        <is>
          <t>INV-10557</t>
        </is>
      </c>
      <c r="C37" s="20" t="inlineStr">
        <is>
          <t>Ventia Awards 29-30.7.2026 (PO4701355678)</t>
        </is>
      </c>
      <c r="D37" s="47" t="n">
        <v>46234</v>
      </c>
      <c r="E37" s="47" t="n">
        <v>46264</v>
      </c>
      <c r="F37" s="48" t="n">
        <v>58024.76</v>
      </c>
      <c r="G37" s="37" t="inlineStr">
        <is>
          <t>Overdue</t>
        </is>
      </c>
      <c r="H37" s="50" t="n">
        <v>46304</v>
      </c>
      <c r="I37" s="49">
        <f>H37-E37</f>
        <v>40</v>
      </c>
      <c r="J37" s="20">
        <f>IF(H37&lt;Assumptions!$B$5,"Before",IF(H37&gt;Assumptions!$C$48,"After",INT((H37-Assumptions!$B$5)/7)+1))</f>
        <v>2</v>
      </c>
      <c r="K37" s="3" t="inlineStr">
        <is>
          <t>BIGGEST OVERDUE - a month late. Chase now. Week 2.</t>
        </is>
      </c>
    </row>
    <row r="38">
      <c r="A38" s="20" t="inlineStr">
        <is>
          <t>Ventia</t>
        </is>
      </c>
      <c r="B38" s="20" t="inlineStr">
        <is>
          <t>INV-10612</t>
        </is>
      </c>
      <c r="C38" s="20" t="inlineStr">
        <is>
          <t>Half Year Results Briefing 24.08.2026</t>
        </is>
      </c>
      <c r="D38" s="47" t="n">
        <v>46265</v>
      </c>
      <c r="E38" s="47" t="n">
        <v>46295</v>
      </c>
      <c r="F38" s="48" t="n">
        <v>11919.04</v>
      </c>
      <c r="G38" s="37" t="inlineStr">
        <is>
          <t>Current</t>
        </is>
      </c>
      <c r="H38" s="47" t="n">
        <v>46316</v>
      </c>
      <c r="I38" s="49">
        <f>H38-E38</f>
        <v>21</v>
      </c>
      <c r="J38" s="20">
        <f>IF(H38&lt;Assumptions!$B$5,"Before",IF(H38&gt;Assumptions!$C$48,"After",INT((H38-Assumptions!$B$5)/7)+1))</f>
        <v>4</v>
      </c>
      <c r="K38" s="3" t="inlineStr">
        <is>
          <t>Ventia are running ~3 weeks late</t>
        </is>
      </c>
    </row>
    <row r="39">
      <c r="A39" s="20" t="inlineStr">
        <is>
          <t>Ventia</t>
        </is>
      </c>
      <c r="B39" s="20" t="inlineStr">
        <is>
          <t>INV-10593</t>
        </is>
      </c>
      <c r="C39" s="20" t="inlineStr">
        <is>
          <t>Employee HYR Town Hall 24.08.2026</t>
        </is>
      </c>
      <c r="D39" s="47" t="n">
        <v>46265</v>
      </c>
      <c r="E39" s="47" t="n">
        <v>46295</v>
      </c>
      <c r="F39" s="48" t="n">
        <v>14741.65</v>
      </c>
      <c r="G39" s="37" t="inlineStr">
        <is>
          <t>Current</t>
        </is>
      </c>
      <c r="H39" s="47" t="n">
        <v>46316</v>
      </c>
      <c r="I39" s="49">
        <f>H39-E39</f>
        <v>21</v>
      </c>
      <c r="J39" s="20">
        <f>IF(H39&lt;Assumptions!$B$5,"Before",IF(H39&gt;Assumptions!$C$48,"After",INT((H39-Assumptions!$B$5)/7)+1))</f>
        <v>4</v>
      </c>
      <c r="K39" s="3" t="inlineStr">
        <is>
          <t>Ventia are running ~3 weeks late</t>
        </is>
      </c>
    </row>
    <row r="40">
      <c r="A40" s="20" t="inlineStr">
        <is>
          <t>Ventia</t>
        </is>
      </c>
      <c r="B40" s="20" t="inlineStr">
        <is>
          <t>INV-10632</t>
        </is>
      </c>
      <c r="C40" s="20" t="inlineStr">
        <is>
          <t>RUOK? Day Event 10.09.2026</t>
        </is>
      </c>
      <c r="D40" s="47" t="n">
        <v>46281</v>
      </c>
      <c r="E40" s="47" t="n">
        <v>46311</v>
      </c>
      <c r="F40" s="48" t="n">
        <v>10015.89</v>
      </c>
      <c r="G40" s="37" t="inlineStr">
        <is>
          <t>Current</t>
        </is>
      </c>
      <c r="H40" s="47" t="n">
        <v>46325</v>
      </c>
      <c r="I40" s="49">
        <f>H40-E40</f>
        <v>14</v>
      </c>
      <c r="J40" s="20">
        <f>IF(H40&lt;Assumptions!$B$5,"Before",IF(H40&gt;Assumptions!$C$48,"After",INT((H40-Assumptions!$B$5)/7)+1))</f>
        <v>5</v>
      </c>
      <c r="K40" s="3" t="inlineStr">
        <is>
          <t>Two weeks after due</t>
        </is>
      </c>
    </row>
    <row r="41">
      <c r="A41" s="20" t="inlineStr">
        <is>
          <t>YSG Studio</t>
        </is>
      </c>
      <c r="B41" s="20" t="inlineStr">
        <is>
          <t>INV-10601</t>
        </is>
      </c>
      <c r="C41" s="20" t="inlineStr">
        <is>
          <t>Orange Room AV upgrade - labour</t>
        </is>
      </c>
      <c r="D41" s="47" t="n">
        <v>46261</v>
      </c>
      <c r="E41" s="47" t="n">
        <v>46291</v>
      </c>
      <c r="F41" s="48" t="n">
        <v>4908.2</v>
      </c>
      <c r="G41" s="37" t="inlineStr">
        <is>
          <t>Overdue</t>
        </is>
      </c>
      <c r="H41" s="47" t="n">
        <v>46297</v>
      </c>
      <c r="I41" s="49">
        <f>H41-E41</f>
        <v>6</v>
      </c>
      <c r="J41" s="20">
        <f>IF(H41&lt;Assumptions!$B$5,"Before",IF(H41&gt;Assumptions!$C$48,"After",INT((H41-Assumptions!$B$5)/7)+1))</f>
        <v>1</v>
      </c>
      <c r="K41" s="3" t="inlineStr">
        <is>
          <t>2 days overdue - this week</t>
        </is>
      </c>
    </row>
    <row r="42">
      <c r="A42" s="20" t="inlineStr">
        <is>
          <t>YSG Studio</t>
        </is>
      </c>
      <c r="B42" s="20" t="inlineStr">
        <is>
          <t>INV-10653</t>
        </is>
      </c>
      <c r="C42" s="20" t="inlineStr">
        <is>
          <t>YSG Studio Phase 4</t>
        </is>
      </c>
      <c r="D42" s="47" t="n">
        <v>46290</v>
      </c>
      <c r="E42" s="47" t="n">
        <v>46320</v>
      </c>
      <c r="F42" s="48" t="n">
        <v>1116.5</v>
      </c>
      <c r="G42" s="37" t="inlineStr">
        <is>
          <t>Current</t>
        </is>
      </c>
      <c r="H42" s="47" t="n">
        <v>46325</v>
      </c>
      <c r="I42" s="49">
        <f>H42-E42</f>
        <v>5</v>
      </c>
      <c r="J42" s="20">
        <f>IF(H42&lt;Assumptions!$B$5,"Before",IF(H42&gt;Assumptions!$C$48,"After",INT((H42-Assumptions!$B$5)/7)+1))</f>
        <v>5</v>
      </c>
      <c r="K42" s="3" t="inlineStr">
        <is>
          <t>A few days after due</t>
        </is>
      </c>
    </row>
    <row r="43">
      <c r="A43" s="20" t="inlineStr">
        <is>
          <t>Deloitte Services Trust</t>
        </is>
      </c>
      <c r="B43" s="20" t="inlineStr">
        <is>
          <t>TBR</t>
        </is>
      </c>
      <c r="C43" s="20" t="inlineStr">
        <is>
          <t>CONTRACT - September technicians</t>
        </is>
      </c>
      <c r="D43" s="47" t="n">
        <v>46295</v>
      </c>
      <c r="E43" s="47" t="n">
        <v>46325</v>
      </c>
      <c r="F43" s="48" t="n">
        <v>113987.99</v>
      </c>
      <c r="G43" s="37" t="inlineStr">
        <is>
          <t>To be raised</t>
        </is>
      </c>
      <c r="H43" s="50" t="n">
        <v>46309</v>
      </c>
      <c r="I43" s="49">
        <f>H43-E43</f>
        <v>-16</v>
      </c>
      <c r="J43" s="20">
        <f>IF(H43&lt;Assumptions!$B$5,"Before",IF(H43&gt;Assumptions!$C$48,"After",INT((H43-Assumptions!$B$5)/7)+1))</f>
        <v>3</v>
      </c>
      <c r="K43" s="3" t="inlineStr">
        <is>
          <t>Aug invoice (31 Aug) paid 14 Sep - Deloitte pay ~2 weeks after we invoice. Template $113,987.99 a month</t>
        </is>
      </c>
    </row>
    <row r="44">
      <c r="A44" s="20" t="inlineStr">
        <is>
          <t>Commonwealth Bank (CBA Place South)</t>
        </is>
      </c>
      <c r="B44" s="20" t="inlineStr">
        <is>
          <t>TBR</t>
        </is>
      </c>
      <c r="C44" s="20" t="inlineStr">
        <is>
          <t>85720001CBPSCSJUN27 - September</t>
        </is>
      </c>
      <c r="D44" s="47" t="n">
        <v>46295</v>
      </c>
      <c r="E44" s="47" t="n">
        <v>46325</v>
      </c>
      <c r="F44" s="48" t="n">
        <v>24978.8</v>
      </c>
      <c r="G44" s="37" t="inlineStr">
        <is>
          <t>To be raised</t>
        </is>
      </c>
      <c r="H44" s="47" t="n">
        <v>46303</v>
      </c>
      <c r="I44" s="49">
        <f>H44-E44</f>
        <v>-22</v>
      </c>
      <c r="J44" s="20">
        <f>IF(H44&lt;Assumptions!$B$5,"Before",IF(H44&gt;Assumptions!$C$48,"After",INT((H44-Assumptions!$B$5)/7)+1))</f>
        <v>2</v>
      </c>
      <c r="K44" s="3" t="inlineStr">
        <is>
          <t>Aug invoices (31 Aug) paid 8 Sep - CBA pay ~8 days after invoice</t>
        </is>
      </c>
    </row>
    <row r="45">
      <c r="A45" s="20" t="inlineStr">
        <is>
          <t>Commonwealth Bank (CBA Square)</t>
        </is>
      </c>
      <c r="B45" s="20" t="inlineStr">
        <is>
          <t>TBR</t>
        </is>
      </c>
      <c r="C45" s="20" t="inlineStr">
        <is>
          <t>85720001CBSCSJUN27 - September</t>
        </is>
      </c>
      <c r="D45" s="47" t="n">
        <v>46295</v>
      </c>
      <c r="E45" s="47" t="n">
        <v>46325</v>
      </c>
      <c r="F45" s="48" t="n">
        <v>11792</v>
      </c>
      <c r="G45" s="37" t="inlineStr">
        <is>
          <t>To be raised</t>
        </is>
      </c>
      <c r="H45" s="47" t="n">
        <v>46303</v>
      </c>
      <c r="I45" s="49">
        <f>H45-E45</f>
        <v>-22</v>
      </c>
      <c r="J45" s="20">
        <f>IF(H45&lt;Assumptions!$B$5,"Before",IF(H45&gt;Assumptions!$C$48,"After",INT((H45-Assumptions!$B$5)/7)+1))</f>
        <v>2</v>
      </c>
      <c r="K45" s="3" t="inlineStr">
        <is>
          <t>Same</t>
        </is>
      </c>
    </row>
    <row r="46">
      <c r="A46" s="20" t="inlineStr">
        <is>
          <t>Commonwealth Bank (CBA Melbourne)</t>
        </is>
      </c>
      <c r="B46" s="20" t="inlineStr">
        <is>
          <t>TBR</t>
        </is>
      </c>
      <c r="C46" s="20" t="inlineStr">
        <is>
          <t>85720001MEL435CSJUN27 - September</t>
        </is>
      </c>
      <c r="D46" s="47" t="n">
        <v>46295</v>
      </c>
      <c r="E46" s="47" t="n">
        <v>46325</v>
      </c>
      <c r="F46" s="48" t="n">
        <v>13156</v>
      </c>
      <c r="G46" s="37" t="inlineStr">
        <is>
          <t>To be raised</t>
        </is>
      </c>
      <c r="H46" s="47" t="n">
        <v>46303</v>
      </c>
      <c r="I46" s="49">
        <f>H46-E46</f>
        <v>-22</v>
      </c>
      <c r="J46" s="20">
        <f>IF(H46&lt;Assumptions!$B$5,"Before",IF(H46&gt;Assumptions!$C$48,"After",INT((H46-Assumptions!$B$5)/7)+1))</f>
        <v>2</v>
      </c>
      <c r="K46" s="3" t="inlineStr">
        <is>
          <t>Same</t>
        </is>
      </c>
    </row>
    <row r="47">
      <c r="A47" s="20" t="inlineStr">
        <is>
          <t>Commonwealth Bank (CBA Brisbane)</t>
        </is>
      </c>
      <c r="B47" s="20" t="inlineStr">
        <is>
          <t>TBR</t>
        </is>
      </c>
      <c r="C47" s="20" t="inlineStr">
        <is>
          <t>85720001BRISCSJUN27 - September</t>
        </is>
      </c>
      <c r="D47" s="47" t="n">
        <v>46295</v>
      </c>
      <c r="E47" s="47" t="n">
        <v>46325</v>
      </c>
      <c r="F47" s="48" t="n">
        <v>6534</v>
      </c>
      <c r="G47" s="37" t="inlineStr">
        <is>
          <t>To be raised</t>
        </is>
      </c>
      <c r="H47" s="47" t="n">
        <v>46303</v>
      </c>
      <c r="I47" s="49">
        <f>H47-E47</f>
        <v>-22</v>
      </c>
      <c r="J47" s="20">
        <f>IF(H47&lt;Assumptions!$B$5,"Before",IF(H47&gt;Assumptions!$C$48,"After",INT((H47-Assumptions!$B$5)/7)+1))</f>
        <v>2</v>
      </c>
      <c r="K47" s="3" t="inlineStr">
        <is>
          <t>Same</t>
        </is>
      </c>
    </row>
    <row r="48">
      <c r="A48" s="20" t="inlineStr">
        <is>
          <t>Bankwest</t>
        </is>
      </c>
      <c r="B48" s="20" t="inlineStr">
        <is>
          <t>TBR</t>
        </is>
      </c>
      <c r="C48" s="20" t="inlineStr">
        <is>
          <t>85720001BWPCSJUN27 - September</t>
        </is>
      </c>
      <c r="D48" s="47" t="n">
        <v>46295</v>
      </c>
      <c r="E48" s="47" t="n">
        <v>46325</v>
      </c>
      <c r="F48" s="48" t="n">
        <v>21210.75</v>
      </c>
      <c r="G48" s="37" t="inlineStr">
        <is>
          <t>To be raised</t>
        </is>
      </c>
      <c r="H48" s="47" t="n">
        <v>46300</v>
      </c>
      <c r="I48" s="49">
        <f>H48-E48</f>
        <v>-25</v>
      </c>
      <c r="J48" s="20">
        <f>IF(H48&lt;Assumptions!$B$5,"Before",IF(H48&gt;Assumptions!$C$48,"After",INT((H48-Assumptions!$B$5)/7)+1))</f>
        <v>2</v>
      </c>
      <c r="K48" s="3" t="inlineStr">
        <is>
          <t>Aug invoice (31 Aug) paid 3 Sep - Bankwest pay within days</t>
        </is>
      </c>
    </row>
    <row r="49">
      <c r="A49" s="20" t="inlineStr">
        <is>
          <t>Bankwest</t>
        </is>
      </c>
      <c r="B49" s="20" t="inlineStr">
        <is>
          <t>TBR</t>
        </is>
      </c>
      <c r="C49" s="20" t="inlineStr">
        <is>
          <t>85720001BWPCSJUN27 Additionals - September</t>
        </is>
      </c>
      <c r="D49" s="47" t="n">
        <v>46295</v>
      </c>
      <c r="E49" s="47" t="n">
        <v>46325</v>
      </c>
      <c r="F49" s="48" t="n">
        <v>1490.5</v>
      </c>
      <c r="G49" s="37" t="inlineStr">
        <is>
          <t>To be raised</t>
        </is>
      </c>
      <c r="H49" s="47" t="n">
        <v>46300</v>
      </c>
      <c r="I49" s="49">
        <f>H49-E49</f>
        <v>-25</v>
      </c>
      <c r="J49" s="20">
        <f>IF(H49&lt;Assumptions!$B$5,"Before",IF(H49&gt;Assumptions!$C$48,"After",INT((H49-Assumptions!$B$5)/7)+1))</f>
        <v>2</v>
      </c>
      <c r="K49" s="3" t="inlineStr">
        <is>
          <t>Same (template amount, actual varies)</t>
        </is>
      </c>
    </row>
    <row r="50">
      <c r="A50" s="20" t="inlineStr">
        <is>
          <t>PwC Services</t>
        </is>
      </c>
      <c r="B50" s="20" t="inlineStr">
        <is>
          <t>TBR</t>
        </is>
      </c>
      <c r="C50" s="20" t="inlineStr">
        <is>
          <t>PO2601702104 - Sydney AV support September</t>
        </is>
      </c>
      <c r="D50" s="47" t="n">
        <v>46295</v>
      </c>
      <c r="E50" s="47" t="n">
        <v>46325</v>
      </c>
      <c r="F50" s="48" t="n">
        <v>13097.7</v>
      </c>
      <c r="G50" s="37" t="inlineStr">
        <is>
          <t>To be raised</t>
        </is>
      </c>
      <c r="H50" s="47" t="n">
        <v>46340</v>
      </c>
      <c r="I50" s="49">
        <f>H50-E50</f>
        <v>15</v>
      </c>
      <c r="J50" s="20" t="str">
        <f>IF(H50&lt;Assumptions!$B$5,"Before",IF(H50&gt;Assumptions!$C$48,"After",INT((H50-Assumptions!$B$5)/7)+1))</f>
        <v>After</v>
      </c>
      <c r="K50" s="3" t="inlineStr">
        <is>
          <t>PwC's July contract invoices are still unpaid - assume Nov</t>
        </is>
      </c>
    </row>
    <row r="51">
      <c r="A51" s="20" t="inlineStr">
        <is>
          <t>PwC Services</t>
        </is>
      </c>
      <c r="B51" s="20" t="inlineStr">
        <is>
          <t>TBR</t>
        </is>
      </c>
      <c r="C51" s="20" t="inlineStr">
        <is>
          <t>PO2601702371 - Brisbane AV support September</t>
        </is>
      </c>
      <c r="D51" s="47" t="n">
        <v>46295</v>
      </c>
      <c r="E51" s="47" t="n">
        <v>46325</v>
      </c>
      <c r="F51" s="48" t="n">
        <v>7865</v>
      </c>
      <c r="G51" s="37" t="inlineStr">
        <is>
          <t>To be raised</t>
        </is>
      </c>
      <c r="H51" s="47" t="n">
        <v>46340</v>
      </c>
      <c r="I51" s="49">
        <f>H51-E51</f>
        <v>15</v>
      </c>
      <c r="J51" s="20" t="str">
        <f>IF(H51&lt;Assumptions!$B$5,"Before",IF(H51&gt;Assumptions!$C$48,"After",INT((H51-Assumptions!$B$5)/7)+1))</f>
        <v>After</v>
      </c>
      <c r="K51" s="3" t="inlineStr">
        <is>
          <t>Same</t>
        </is>
      </c>
    </row>
    <row r="52">
      <c r="A52" s="20" t="inlineStr">
        <is>
          <t>Aware Super</t>
        </is>
      </c>
      <c r="B52" s="20" t="inlineStr">
        <is>
          <t>TBR</t>
        </is>
      </c>
      <c r="C52" s="20" t="inlineStr">
        <is>
          <t>Annual National Maintenance - September</t>
        </is>
      </c>
      <c r="D52" s="47" t="n">
        <v>46295</v>
      </c>
      <c r="E52" s="47" t="n">
        <v>46325</v>
      </c>
      <c r="F52" s="48" t="n">
        <v>12100</v>
      </c>
      <c r="G52" s="37" t="inlineStr">
        <is>
          <t>To be raised</t>
        </is>
      </c>
      <c r="H52" s="47" t="n">
        <v>46325</v>
      </c>
      <c r="I52" s="49">
        <f>H52-E52</f>
        <v>0</v>
      </c>
      <c r="J52" s="20">
        <f>IF(H52&lt;Assumptions!$B$5,"Before",IF(H52&gt;Assumptions!$C$48,"After",INT((H52-Assumptions!$B$5)/7)+1))</f>
        <v>5</v>
      </c>
      <c r="K52" s="3" t="inlineStr">
        <is>
          <t>Aware pay on the due date</t>
        </is>
      </c>
    </row>
    <row r="53">
      <c r="A53" s="14" t="inlineStr">
        <is>
          <t>TOTAL</t>
        </is>
      </c>
      <c r="B53" s="17" t="n"/>
      <c r="C53" s="17" t="n"/>
      <c r="D53" s="17" t="n"/>
      <c r="E53" s="17" t="n"/>
      <c r="F53" s="51">
        <f>SUM(F5:F52)</f>
        <v>806505.13</v>
      </c>
      <c r="G53" s="17" t="n"/>
      <c r="H53" s="17" t="n"/>
      <c r="I53" s="17" t="n"/>
      <c r="J53" s="17" t="n"/>
      <c r="K53" s="17" t="n"/>
    </row>
    <row r="54">
      <c r="A54" s="33" t="inlineStr">
        <is>
          <t>of which open in Xero at 28 Sep (should be $580,292.39)</t>
        </is>
      </c>
      <c r="F54" s="36">
        <f>SUMIFS(F5:F52,G5:G52,"&lt;&gt;To be raised")</f>
        <v>580292.39</v>
      </c>
    </row>
    <row r="55">
      <c r="A55" s="33" t="inlineStr">
        <is>
          <t>of which expected inside the forecast</t>
        </is>
      </c>
      <c r="F55" s="36">
        <f>SUMIFS(F5:F52,H5:H52,"&gt;="&amp;Assumptions!$B$5,H5:H52,"&lt;="&amp;Assumptions!$C$48)</f>
        <v>760733.91</v>
      </c>
    </row>
    <row r="56">
      <c r="A56" s="33" t="inlineStr">
        <is>
          <t>of which pushed past the forecast (PwC Sep invoices, Meet Magic, Property NSW)</t>
        </is>
      </c>
      <c r="F56" s="36">
        <f>F53-F55</f>
        <v>45771.21999999997</v>
      </c>
    </row>
  </sheetData>
  <autoFilter ref="A4:K52"/>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J64"/>
  <sheetViews>
    <sheetView workbookViewId="0">
      <pane ySplit="18" topLeftCell="A19" activePane="bottomLeft" state="frozen"/>
      <selection pane="bottomLeft" activeCell="A1" sqref="A1"/>
    </sheetView>
  </sheetViews>
  <sheetFormatPr baseColWidth="8" defaultRowHeight="15"/>
  <cols>
    <col width="32" customWidth="1" min="1" max="1"/>
    <col width="48" customWidth="1" min="2" max="2"/>
    <col width="12" customWidth="1" min="3" max="3"/>
    <col width="14" customWidth="1" min="4" max="4"/>
    <col width="10" customWidth="1" min="5" max="5"/>
    <col width="24" customWidth="1" min="6" max="6"/>
    <col width="16" customWidth="1" min="7" max="7"/>
    <col width="8" customWidth="1" min="8" max="8"/>
    <col width="14" customWidth="1" min="9" max="9"/>
    <col width="62" customWidth="1" min="10" max="10"/>
  </cols>
  <sheetData>
    <row r="1">
      <c r="A1" s="1" t="inlineStr">
        <is>
          <t>Payables - every open bill, plus October's recurring bills not yet in Xero</t>
        </is>
      </c>
    </row>
    <row r="2" ht="40" customHeight="1">
      <c r="A2" s="3" t="inlineStr">
        <is>
          <t>Xero aged payables at 28 Sep ($283,042.53, 24 bills - Complete AV split per the 28 Sep meeting) plus the repeating bill templates for Oct. Card rows get paid on the PL/DL cards and sit in the credit card line on the Cash Flow tab, so they're left out of the category totals. The P&amp;L category decides which line each bill lands on.</t>
        </is>
      </c>
    </row>
    <row r="3"/>
    <row r="4">
      <c r="A4" s="7" t="inlineStr">
        <is>
          <t>PAYMENTS THIS WEEK (28 Sep - 7 Oct)</t>
        </is>
      </c>
      <c r="B4" s="19" t="n"/>
      <c r="C4" s="19" t="n"/>
      <c r="D4" s="19" t="n"/>
      <c r="E4" s="19" t="n"/>
      <c r="F4" s="19" t="n"/>
      <c r="G4" s="19" t="n"/>
      <c r="H4" s="19" t="n"/>
      <c r="I4" s="19" t="n"/>
      <c r="J4" s="19" t="n"/>
    </row>
    <row r="5">
      <c r="A5" s="9" t="inlineStr">
        <is>
          <t>Supplier</t>
        </is>
      </c>
      <c r="B5" s="9" t="inlineStr">
        <is>
          <t>Bill / reference</t>
        </is>
      </c>
      <c r="C5" s="9" t="inlineStr">
        <is>
          <t>Due date</t>
        </is>
      </c>
      <c r="D5" s="9" t="inlineStr">
        <is>
          <t>Amount (incl GST)</t>
        </is>
      </c>
      <c r="E5" s="9" t="inlineStr">
        <is>
          <t>Method</t>
        </is>
      </c>
      <c r="F5" s="9" t="inlineStr">
        <is>
          <t>Status</t>
        </is>
      </c>
      <c r="G5" s="9" t="inlineStr">
        <is>
          <t>Pay on</t>
        </is>
      </c>
      <c r="H5" s="9" t="inlineStr"/>
      <c r="I5" s="9" t="inlineStr"/>
      <c r="J5" s="9" t="inlineStr">
        <is>
          <t>Notes</t>
        </is>
      </c>
    </row>
    <row r="6">
      <c r="A6" s="52" t="str">
        <f>A20</f>
        <v>Complete AV Solutions</v>
      </c>
      <c r="B6" s="53" t="str">
        <f>B20</f>
        <v>INV41565 - Aware seminar room: MATERIALS portion (hardware, cables, freight, waste, net of the $4,848.68 claim-balance reduction)</v>
      </c>
      <c r="C6" s="54">
        <f>C20</f>
        <v>46291</v>
      </c>
      <c r="D6" s="55">
        <f>D20</f>
        <v>136163.28</v>
      </c>
      <c r="E6" s="52" t="str">
        <f>E20</f>
        <v>EFT</v>
      </c>
      <c r="F6" s="56" t="inlineStr">
        <is>
          <t>AGREED - PAY</t>
        </is>
      </c>
      <c r="G6" s="57">
        <f>G20</f>
        <v>46295</v>
      </c>
      <c r="H6" s="58" t="n"/>
      <c r="I6" s="58" t="n"/>
      <c r="J6" s="59" t="inlineStr">
        <is>
          <t>Agreed 28 Sep meeting. Pay date comes from the Complete AV tab.</t>
        </is>
      </c>
    </row>
    <row r="7">
      <c r="A7" s="60" t="str">
        <f>A23</f>
        <v>Employsure</v>
      </c>
      <c r="B7" s="61" t="str">
        <f>B23</f>
        <v>41 of 60</v>
      </c>
      <c r="C7" s="62">
        <f>C23</f>
        <v>46271</v>
      </c>
      <c r="D7" s="63">
        <f>D23</f>
        <v>880</v>
      </c>
      <c r="E7" s="60" t="str">
        <f>E23</f>
        <v>EFT</v>
      </c>
      <c r="F7" s="24" t="inlineStr">
        <is>
          <t>Due this week</t>
        </is>
      </c>
      <c r="G7" s="64">
        <f>G23</f>
        <v>46296</v>
      </c>
      <c r="J7" s="3" t="inlineStr">
        <is>
          <t>Routine - on the due date</t>
        </is>
      </c>
    </row>
    <row r="8">
      <c r="A8" s="60" t="str">
        <f>A26</f>
        <v>Eptura Australia</v>
      </c>
      <c r="B8" s="61" t="str">
        <f>B26</f>
        <v>INV-85230 - Proxyclick renewal APA VMS yr 2</v>
      </c>
      <c r="C8" s="62">
        <f>C26</f>
        <v>46296</v>
      </c>
      <c r="D8" s="63">
        <f>D26</f>
        <v>3627.04</v>
      </c>
      <c r="E8" s="60" t="str">
        <f>E26</f>
        <v>EFT</v>
      </c>
      <c r="F8" s="24" t="inlineStr">
        <is>
          <t>Due this week</t>
        </is>
      </c>
      <c r="G8" s="64">
        <f>G26</f>
        <v>46296</v>
      </c>
      <c r="J8" s="3" t="inlineStr">
        <is>
          <t>Routine - on the due date</t>
        </is>
      </c>
    </row>
    <row r="9">
      <c r="A9" s="65" t="str">
        <f>A28</f>
        <v>Fredon Technology</v>
      </c>
      <c r="B9" s="66" t="str">
        <f>B28</f>
        <v>INV11S-26080021 - DTTL 8PSQ Dream Big microphones</v>
      </c>
      <c r="C9" s="67">
        <f>C28</f>
        <v>46288</v>
      </c>
      <c r="D9" s="68">
        <f>D28</f>
        <v>24708.2</v>
      </c>
      <c r="E9" s="65" t="str">
        <f>E28</f>
        <v>EFT</v>
      </c>
      <c r="F9" s="69" t="inlineStr">
        <is>
          <t>AWAITING DH</t>
        </is>
      </c>
      <c r="G9" s="70">
        <f>G28</f>
        <v>46302</v>
      </c>
      <c r="H9" s="71" t="n"/>
      <c r="I9" s="71" t="n"/>
      <c r="J9" s="72" t="inlineStr">
        <is>
          <t>Bill says DH to confirm - don't pay until he does.</t>
        </is>
      </c>
    </row>
    <row r="10">
      <c r="A10" s="60" t="str">
        <f>A35</f>
        <v>Ricoh Australia</v>
      </c>
      <c r="B10" s="61" t="str">
        <f>B35</f>
        <v>INV15759052 - printing Aug</v>
      </c>
      <c r="C10" s="62">
        <f>C35</f>
        <v>46295</v>
      </c>
      <c r="D10" s="63">
        <f>D35</f>
        <v>235.6</v>
      </c>
      <c r="E10" s="60" t="str">
        <f>E35</f>
        <v>DD</v>
      </c>
      <c r="F10" s="24" t="inlineStr">
        <is>
          <t>Due this week</t>
        </is>
      </c>
      <c r="G10" s="64">
        <f>G35</f>
        <v>46295</v>
      </c>
      <c r="J10" s="3" t="inlineStr">
        <is>
          <t>Routine - on the due date</t>
        </is>
      </c>
    </row>
    <row r="11">
      <c r="A11" s="65" t="str">
        <f>A36</f>
        <v>RJW Group Holdings</v>
      </c>
      <c r="B11" s="66" t="str">
        <f>B36</f>
        <v>INV-0048 - website design balance</v>
      </c>
      <c r="C11" s="67">
        <f>C36</f>
        <v>46295</v>
      </c>
      <c r="D11" s="68">
        <f>D36</f>
        <v>6600</v>
      </c>
      <c r="E11" s="65" t="str">
        <f>E36</f>
        <v>EFT</v>
      </c>
      <c r="F11" s="69" t="inlineStr">
        <is>
          <t>AWAITING DL</t>
        </is>
      </c>
      <c r="G11" s="70">
        <f>G36</f>
        <v>46297</v>
      </c>
      <c r="H11" s="71" t="n"/>
      <c r="I11" s="71" t="n"/>
      <c r="J11" s="72" t="inlineStr">
        <is>
          <t>Bill says check with DL before paying.</t>
        </is>
      </c>
    </row>
    <row r="12">
      <c r="A12" s="60" t="str">
        <f>A38</f>
        <v>SPACERA</v>
      </c>
      <c r="B12" s="61" t="str">
        <f>B38</f>
        <v>INV-0056 - Aware Super national support (Sep)</v>
      </c>
      <c r="C12" s="62">
        <f>C38</f>
        <v>46296</v>
      </c>
      <c r="D12" s="63">
        <f>D38</f>
        <v>5728.8</v>
      </c>
      <c r="E12" s="60" t="str">
        <f>E38</f>
        <v>EFT</v>
      </c>
      <c r="F12" s="24" t="inlineStr">
        <is>
          <t>Due this week</t>
        </is>
      </c>
      <c r="G12" s="64">
        <f>G38</f>
        <v>46296</v>
      </c>
      <c r="J12" s="3" t="inlineStr">
        <is>
          <t>Routine - on the due date</t>
        </is>
      </c>
    </row>
    <row r="13">
      <c r="A13" s="60" t="str">
        <f>A47</f>
        <v>Cleveland Partners (8020 Advisors)</v>
      </c>
      <c r="B13" s="61" t="str">
        <f>B47</f>
        <v>Monthly advisory fees</v>
      </c>
      <c r="C13" s="62">
        <f>C47</f>
        <v>46302</v>
      </c>
      <c r="D13" s="63">
        <f>D47</f>
        <v>3850</v>
      </c>
      <c r="E13" s="60" t="str">
        <f>E47</f>
        <v>EFT</v>
      </c>
      <c r="F13" s="24" t="inlineStr">
        <is>
          <t>Due this week</t>
        </is>
      </c>
      <c r="G13" s="64">
        <f>G47</f>
        <v>46302</v>
      </c>
      <c r="J13" s="3" t="inlineStr">
        <is>
          <t>Routine - on the due date</t>
        </is>
      </c>
    </row>
    <row r="14">
      <c r="A14" s="60" t="str">
        <f>A50</f>
        <v>Employsure</v>
      </c>
      <c r="B14" s="61" t="str">
        <f>B50</f>
        <v>42 of 60 - October</v>
      </c>
      <c r="C14" s="62">
        <f>C50</f>
        <v>46300</v>
      </c>
      <c r="D14" s="63">
        <f>D50</f>
        <v>880</v>
      </c>
      <c r="E14" s="60" t="str">
        <f>E50</f>
        <v>EFT</v>
      </c>
      <c r="F14" s="24" t="inlineStr">
        <is>
          <t>Due this week</t>
        </is>
      </c>
      <c r="G14" s="64">
        <f>G50</f>
        <v>46300</v>
      </c>
      <c r="J14" s="3" t="inlineStr">
        <is>
          <t>Routine - on the due date</t>
        </is>
      </c>
    </row>
    <row r="15">
      <c r="A15" s="14" t="inlineStr">
        <is>
          <t>Total this week</t>
        </is>
      </c>
      <c r="B15" s="17" t="n"/>
      <c r="C15" s="17" t="n"/>
      <c r="D15" s="51">
        <f>SUM(D6:D14)</f>
        <v>182672.91999999998</v>
      </c>
      <c r="E15" s="17" t="n"/>
      <c r="F15" s="17" t="n"/>
      <c r="G15" s="17" t="n"/>
      <c r="H15" s="17" t="n"/>
      <c r="I15" s="17" t="n"/>
      <c r="J15" s="17" t="n"/>
    </row>
    <row r="16">
      <c r="A16" s="33" t="inlineStr">
        <is>
          <t>of which agreed / routine (excludes the two awaiting sign-off)</t>
        </is>
      </c>
      <c r="D16" s="36">
        <f>SUMIFS(D6:D14,F6:F14,"AGREED - PAY")+SUMIFS(D6:D14,F6:F14,"Due this week")</f>
        <v>151364.72</v>
      </c>
    </row>
    <row r="17" ht="30" customHeight="1">
      <c r="A17" s="44" t="inlineStr">
        <is>
          <t>ALL OPEN BILLS AND OCTOBER TEMPLATES</t>
        </is>
      </c>
      <c r="B17" s="19" t="n"/>
      <c r="C17" s="19" t="n"/>
      <c r="D17" s="19" t="n"/>
      <c r="E17" s="19" t="n"/>
      <c r="F17" s="19" t="n"/>
      <c r="G17" s="19" t="n"/>
      <c r="H17" s="19" t="n"/>
      <c r="I17" s="19" t="n"/>
      <c r="J17" s="19" t="n"/>
    </row>
    <row r="18" ht="30" customHeight="1">
      <c r="A18" s="44" t="inlineStr">
        <is>
          <t>Supplier</t>
        </is>
      </c>
      <c r="B18" s="44" t="inlineStr">
        <is>
          <t>Bill / reference</t>
        </is>
      </c>
      <c r="C18" s="44" t="inlineStr">
        <is>
          <t>Due date</t>
        </is>
      </c>
      <c r="D18" s="44" t="inlineStr">
        <is>
          <t>Amount (incl GST)</t>
        </is>
      </c>
      <c r="E18" s="44" t="inlineStr">
        <is>
          <t>Method</t>
        </is>
      </c>
      <c r="F18" s="44" t="inlineStr">
        <is>
          <t>P&amp;L category</t>
        </is>
      </c>
      <c r="G18" s="44" t="inlineStr">
        <is>
          <t>Planned payment date</t>
        </is>
      </c>
      <c r="H18" s="44" t="inlineStr">
        <is>
          <t>Week</t>
        </is>
      </c>
      <c r="I18" s="44" t="inlineStr">
        <is>
          <t>Source</t>
        </is>
      </c>
      <c r="J18" s="44" t="inlineStr">
        <is>
          <t>Notes</t>
        </is>
      </c>
    </row>
    <row r="19">
      <c r="A19" s="20" t="inlineStr">
        <is>
          <t>Appspace, Inc.</t>
        </is>
      </c>
      <c r="B19" s="34" t="inlineStr">
        <is>
          <t>INV00133660 - Appspace licensing for Aware Super</t>
        </is>
      </c>
      <c r="C19" s="47" t="n">
        <v>46319</v>
      </c>
      <c r="D19" s="48" t="n">
        <v>20985.43</v>
      </c>
      <c r="E19" s="37" t="inlineStr">
        <is>
          <t>EFT</t>
        </is>
      </c>
      <c r="F19" s="37" t="inlineStr">
        <is>
          <t>Client subscriptions</t>
        </is>
      </c>
      <c r="G19" s="47" t="n">
        <v>46318</v>
      </c>
      <c r="H19" s="20">
        <f>IF(G19&lt;Assumptions!$B$5,"Before",IF(G19&gt;Assumptions!$C$48,"After",INT((G19-Assumptions!$B$5)/7)+1))</f>
        <v>4</v>
      </c>
      <c r="I19" s="20" t="inlineStr">
        <is>
          <t>Xero bill</t>
        </is>
      </c>
      <c r="J19" s="3" t="inlineStr">
        <is>
          <t>Pay once Aware's Appspace invoice INV-10635 ($23,317) is in (expected 16 Oct)</t>
        </is>
      </c>
    </row>
    <row r="20">
      <c r="A20" s="20" t="inlineStr">
        <is>
          <t>Complete AV Solutions</t>
        </is>
      </c>
      <c r="B20" s="34" t="inlineStr">
        <is>
          <t>INV41565 - Aware seminar room: MATERIALS portion (hardware, cables, freight, waste, net of the $4,848.68 claim-balance reduction)</t>
        </is>
      </c>
      <c r="C20" s="47" t="n">
        <v>46291</v>
      </c>
      <c r="D20" s="63">
        <f>'Complete AV'!$D$44</f>
        <v>136163.28</v>
      </c>
      <c r="E20" s="37" t="inlineStr">
        <is>
          <t>EFT</t>
        </is>
      </c>
      <c r="F20" s="37" t="inlineStr">
        <is>
          <t>Equipment purchases</t>
        </is>
      </c>
      <c r="G20" s="73">
        <f>'Complete AV'!$D$46</f>
        <v>46295</v>
      </c>
      <c r="H20" s="20">
        <f>IF(G20&lt;Assumptions!$B$5,"Before",IF(G20&gt;Assumptions!$C$48,"After",INT((G20-Assumptions!$B$5)/7)+1))</f>
        <v>1</v>
      </c>
      <c r="I20" s="20" t="inlineStr">
        <is>
          <t>Xero bill</t>
        </is>
      </c>
      <c r="J20" s="3" t="inlineStr">
        <is>
          <t>AGREED 28 Sep (Graham / Jordan): pay the materials now, hold labour until Aware sign off. Build-up is on the Complete AV tab - amount and date come from there.</t>
        </is>
      </c>
    </row>
    <row r="21">
      <c r="A21" s="20" t="inlineStr">
        <is>
          <t>Complete AV Solutions</t>
        </is>
      </c>
      <c r="B21" s="34" t="inlineStr">
        <is>
          <t>INV41565 - Aware seminar room: LABOUR &amp; PROGRAMMING portion - HELD</t>
        </is>
      </c>
      <c r="C21" s="47" t="n">
        <v>46291</v>
      </c>
      <c r="D21" s="63">
        <f>'Complete AV'!$D$55</f>
        <v>41955.98</v>
      </c>
      <c r="E21" s="37" t="inlineStr">
        <is>
          <t>EFT</t>
        </is>
      </c>
      <c r="F21" s="37" t="inlineStr">
        <is>
          <t>Equipment purchases</t>
        </is>
      </c>
      <c r="G21" s="50" t="n">
        <v>46356</v>
      </c>
      <c r="H21" s="20" t="str">
        <f>IF(G21&lt;Assumptions!$B$5,"Before",IF(G21&gt;Assumptions!$C$48,"After",INT((G21-Assumptions!$B$5)/7)+1))</f>
        <v>After</v>
      </c>
      <c r="I21" s="20" t="inlineStr">
        <is>
          <t>Xero bill</t>
        </is>
      </c>
      <c r="J21" s="3" t="inlineStr">
        <is>
          <t>HELD until Aware sign off and we get the handover docs (marked up drawings, training docs). Detail on the Complete AV tab. Dated past the forecast so it's excluded.</t>
        </is>
      </c>
    </row>
    <row r="22">
      <c r="A22" s="20" t="inlineStr">
        <is>
          <t>Crestron ANZ</t>
        </is>
      </c>
      <c r="B22" s="34" t="inlineStr">
        <is>
          <t>INV950936412 - Aware SYD 28.06 equipment</t>
        </is>
      </c>
      <c r="C22" s="47" t="n">
        <v>46314</v>
      </c>
      <c r="D22" s="48" t="n">
        <v>7103.26</v>
      </c>
      <c r="E22" s="37" t="inlineStr">
        <is>
          <t>EFT</t>
        </is>
      </c>
      <c r="F22" s="37" t="inlineStr">
        <is>
          <t>Equipment purchases</t>
        </is>
      </c>
      <c r="G22" s="47" t="n">
        <v>46314</v>
      </c>
      <c r="H22" s="20">
        <f>IF(G22&lt;Assumptions!$B$5,"Before",IF(G22&gt;Assumptions!$C$48,"After",INT((G22-Assumptions!$B$5)/7)+1))</f>
        <v>4</v>
      </c>
      <c r="I22" s="20" t="inlineStr">
        <is>
          <t>Xero bill</t>
        </is>
      </c>
      <c r="J22" s="3" t="inlineStr">
        <is>
          <t>On the due date</t>
        </is>
      </c>
    </row>
    <row r="23">
      <c r="A23" s="20" t="inlineStr">
        <is>
          <t>Employsure</t>
        </is>
      </c>
      <c r="B23" s="34" t="inlineStr">
        <is>
          <t>41 of 60</t>
        </is>
      </c>
      <c r="C23" s="47" t="n">
        <v>46271</v>
      </c>
      <c r="D23" s="48" t="n">
        <v>880</v>
      </c>
      <c r="E23" s="37" t="inlineStr">
        <is>
          <t>EFT</t>
        </is>
      </c>
      <c r="F23" s="37" t="inlineStr">
        <is>
          <t>Professional fees</t>
        </is>
      </c>
      <c r="G23" s="47" t="n">
        <v>46296</v>
      </c>
      <c r="H23" s="20">
        <f>IF(G23&lt;Assumptions!$B$5,"Before",IF(G23&gt;Assumptions!$C$48,"After",INT((G23-Assumptions!$B$5)/7)+1))</f>
        <v>1</v>
      </c>
      <c r="I23" s="20" t="inlineStr">
        <is>
          <t>Xero bill</t>
        </is>
      </c>
      <c r="J23" s="3" t="inlineStr">
        <is>
          <t>Overdue - pay this week</t>
        </is>
      </c>
    </row>
    <row r="24">
      <c r="A24" s="20" t="inlineStr">
        <is>
          <t>Energy Australia</t>
        </is>
      </c>
      <c r="B24" s="34" t="inlineStr">
        <is>
          <t>INV260382065288 - energy 23 Jul-22 Aug</t>
        </is>
      </c>
      <c r="C24" s="47" t="n">
        <v>46294</v>
      </c>
      <c r="D24" s="48" t="n">
        <v>377.13</v>
      </c>
      <c r="E24" s="37" t="inlineStr">
        <is>
          <t>Card</t>
        </is>
      </c>
      <c r="F24" s="37" t="inlineStr">
        <is>
          <t>Electricity</t>
        </is>
      </c>
      <c r="G24" s="47" t="n">
        <v>46294</v>
      </c>
      <c r="H24" s="20">
        <f>IF(G24&lt;Assumptions!$B$5,"Before",IF(G24&gt;Assumptions!$C$48,"After",INT((G24-Assumptions!$B$5)/7)+1))</f>
        <v>1</v>
      </c>
      <c r="I24" s="20" t="inlineStr">
        <is>
          <t>Xero bill</t>
        </is>
      </c>
      <c r="J24" s="3" t="inlineStr">
        <is>
          <t>DD via the PL card</t>
        </is>
      </c>
    </row>
    <row r="25">
      <c r="A25" s="20" t="inlineStr">
        <is>
          <t>Energy Australia</t>
        </is>
      </c>
      <c r="B25" s="34" t="inlineStr">
        <is>
          <t>INV260412412804 - electricity 23 Aug-21 Sep</t>
        </is>
      </c>
      <c r="C25" s="47" t="n">
        <v>46309</v>
      </c>
      <c r="D25" s="48" t="n">
        <v>696.25</v>
      </c>
      <c r="E25" s="37" t="inlineStr">
        <is>
          <t>Card</t>
        </is>
      </c>
      <c r="F25" s="37" t="inlineStr">
        <is>
          <t>Electricity</t>
        </is>
      </c>
      <c r="G25" s="47" t="n">
        <v>46309</v>
      </c>
      <c r="H25" s="20">
        <f>IF(G25&lt;Assumptions!$B$5,"Before",IF(G25&gt;Assumptions!$C$48,"After",INT((G25-Assumptions!$B$5)/7)+1))</f>
        <v>3</v>
      </c>
      <c r="I25" s="20" t="inlineStr">
        <is>
          <t>Xero bill</t>
        </is>
      </c>
      <c r="J25" s="3" t="inlineStr">
        <is>
          <t>DD via the PL card</t>
        </is>
      </c>
    </row>
    <row r="26">
      <c r="A26" s="20" t="inlineStr">
        <is>
          <t>Eptura Australia</t>
        </is>
      </c>
      <c r="B26" s="34" t="inlineStr">
        <is>
          <t>INV-85230 - Proxyclick renewal APA VMS yr 2</t>
        </is>
      </c>
      <c r="C26" s="47" t="n">
        <v>46296</v>
      </c>
      <c r="D26" s="48" t="n">
        <v>3627.04</v>
      </c>
      <c r="E26" s="37" t="inlineStr">
        <is>
          <t>EFT</t>
        </is>
      </c>
      <c r="F26" s="37" t="inlineStr">
        <is>
          <t>Client subscriptions</t>
        </is>
      </c>
      <c r="G26" s="47" t="n">
        <v>46296</v>
      </c>
      <c r="H26" s="20">
        <f>IF(G26&lt;Assumptions!$B$5,"Before",IF(G26&gt;Assumptions!$C$48,"After",INT((G26-Assumptions!$B$5)/7)+1))</f>
        <v>1</v>
      </c>
      <c r="I26" s="20" t="inlineStr">
        <is>
          <t>Xero bill</t>
        </is>
      </c>
      <c r="J26" s="3" t="inlineStr">
        <is>
          <t>On the due date</t>
        </is>
      </c>
    </row>
    <row r="27">
      <c r="A27" s="20" t="inlineStr">
        <is>
          <t>Expedia</t>
        </is>
      </c>
      <c r="B27" s="34" t="inlineStr">
        <is>
          <t>ITN73550041732636 - accommodation D Hurley</t>
        </is>
      </c>
      <c r="C27" s="47" t="n">
        <v>46287</v>
      </c>
      <c r="D27" s="48" t="n">
        <v>808.95</v>
      </c>
      <c r="E27" s="37" t="inlineStr">
        <is>
          <t>Card</t>
        </is>
      </c>
      <c r="F27" s="37" t="inlineStr">
        <is>
          <t>Direct travel &amp; freight</t>
        </is>
      </c>
      <c r="G27" s="47" t="n">
        <v>46287</v>
      </c>
      <c r="H27" s="20" t="str">
        <f>IF(G27&lt;Assumptions!$B$5,"Before",IF(G27&gt;Assumptions!$C$48,"After",INT((G27-Assumptions!$B$5)/7)+1))</f>
        <v>Before</v>
      </c>
      <c r="I27" s="20" t="inlineStr">
        <is>
          <t>Xero bill</t>
        </is>
      </c>
      <c r="J27" s="3" t="inlineStr">
        <is>
          <t>Went on the PL card last time</t>
        </is>
      </c>
    </row>
    <row r="28">
      <c r="A28" s="20" t="inlineStr">
        <is>
          <t>Fredon Technology</t>
        </is>
      </c>
      <c r="B28" s="34" t="inlineStr">
        <is>
          <t>INV11S-26080021 - DTTL 8PSQ Dream Big microphones</t>
        </is>
      </c>
      <c r="C28" s="47" t="n">
        <v>46288</v>
      </c>
      <c r="D28" s="48" t="n">
        <v>24708.2</v>
      </c>
      <c r="E28" s="37" t="inlineStr">
        <is>
          <t>EFT</t>
        </is>
      </c>
      <c r="F28" s="37" t="inlineStr">
        <is>
          <t>Equipment purchases</t>
        </is>
      </c>
      <c r="G28" s="47" t="n">
        <v>46302</v>
      </c>
      <c r="H28" s="20">
        <f>IF(G28&lt;Assumptions!$B$5,"Before",IF(G28&gt;Assumptions!$C$48,"After",INT((G28-Assumptions!$B$5)/7)+1))</f>
        <v>2</v>
      </c>
      <c r="I28" s="20" t="inlineStr">
        <is>
          <t>Xero bill</t>
        </is>
      </c>
      <c r="J28" s="3" t="inlineStr">
        <is>
          <t>Overdue - DH to confirm. Assume it's released week 2</t>
        </is>
      </c>
    </row>
    <row r="29">
      <c r="A29" s="20" t="inlineStr">
        <is>
          <t>Investa Asset Management</t>
        </is>
      </c>
      <c r="B29" s="34" t="inlineStr">
        <is>
          <t>INV5310034149 - Rent September 2026 (incl. pest)</t>
        </is>
      </c>
      <c r="C29" s="47" t="n">
        <v>46317</v>
      </c>
      <c r="D29" s="48" t="n">
        <v>29280.72</v>
      </c>
      <c r="E29" s="37" t="inlineStr">
        <is>
          <t>EFT</t>
        </is>
      </c>
      <c r="F29" s="37" t="inlineStr">
        <is>
          <t>Rent</t>
        </is>
      </c>
      <c r="G29" s="47" t="n">
        <v>46317</v>
      </c>
      <c r="H29" s="20">
        <f>IF(G29&lt;Assumptions!$B$5,"Before",IF(G29&gt;Assumptions!$C$48,"After",INT((G29-Assumptions!$B$5)/7)+1))</f>
        <v>4</v>
      </c>
      <c r="I29" s="20" t="inlineStr">
        <is>
          <t>Xero bill</t>
        </is>
      </c>
      <c r="J29" s="3" t="inlineStr">
        <is>
          <t>On the due date. Oct rent gets invoiced ~22 Oct, due ~22 Nov</t>
        </is>
      </c>
    </row>
    <row r="30">
      <c r="A30" s="20" t="inlineStr">
        <is>
          <t>Mailchimp</t>
        </is>
      </c>
      <c r="B30" s="34" t="inlineStr">
        <is>
          <t>MC27286583 - September</t>
        </is>
      </c>
      <c r="C30" s="47" t="n">
        <v>46283</v>
      </c>
      <c r="D30" s="48" t="n">
        <v>37.62</v>
      </c>
      <c r="E30" s="37" t="inlineStr">
        <is>
          <t>Card</t>
        </is>
      </c>
      <c r="F30" s="37" t="inlineStr">
        <is>
          <t>Dues &amp; subscriptions</t>
        </is>
      </c>
      <c r="G30" s="47" t="n">
        <v>46283</v>
      </c>
      <c r="H30" s="20" t="str">
        <f>IF(G30&lt;Assumptions!$B$5,"Before",IF(G30&gt;Assumptions!$C$48,"After",INT((G30-Assumptions!$B$5)/7)+1))</f>
        <v>Before</v>
      </c>
      <c r="I30" s="20" t="inlineStr">
        <is>
          <t>Xero bill</t>
        </is>
      </c>
      <c r="J30" s="3" t="inlineStr">
        <is>
          <t>PL card</t>
        </is>
      </c>
    </row>
    <row r="31">
      <c r="A31" s="20" t="inlineStr">
        <is>
          <t>Optus</t>
        </is>
      </c>
      <c r="B31" s="34" t="inlineStr">
        <is>
          <t>INV000594614144 - office internet &amp; landline Sep</t>
        </is>
      </c>
      <c r="C31" s="47" t="n">
        <v>46288</v>
      </c>
      <c r="D31" s="48" t="n">
        <v>629.66</v>
      </c>
      <c r="E31" s="37" t="inlineStr">
        <is>
          <t>Card</t>
        </is>
      </c>
      <c r="F31" s="37" t="inlineStr">
        <is>
          <t>Telephone &amp; internet</t>
        </is>
      </c>
      <c r="G31" s="47" t="n">
        <v>46288</v>
      </c>
      <c r="H31" s="20" t="str">
        <f>IF(G31&lt;Assumptions!$B$5,"Before",IF(G31&gt;Assumptions!$C$48,"After",INT((G31-Assumptions!$B$5)/7)+1))</f>
        <v>Before</v>
      </c>
      <c r="I31" s="20" t="inlineStr">
        <is>
          <t>Xero bill</t>
        </is>
      </c>
      <c r="J31" s="3" t="inlineStr">
        <is>
          <t>PL card</t>
        </is>
      </c>
    </row>
    <row r="32">
      <c r="A32" s="20" t="inlineStr">
        <is>
          <t>Optus</t>
        </is>
      </c>
      <c r="B32" s="34" t="inlineStr">
        <is>
          <t>INV000594999543 - staff mobiles Sep</t>
        </is>
      </c>
      <c r="C32" s="47" t="n">
        <v>46307</v>
      </c>
      <c r="D32" s="48" t="n">
        <v>804.11</v>
      </c>
      <c r="E32" s="37" t="inlineStr">
        <is>
          <t>BPAY</t>
        </is>
      </c>
      <c r="F32" s="37" t="inlineStr">
        <is>
          <t>Telephone &amp; internet</t>
        </is>
      </c>
      <c r="G32" s="47" t="n">
        <v>46307</v>
      </c>
      <c r="H32" s="20">
        <f>IF(G32&lt;Assumptions!$B$5,"Before",IF(G32&gt;Assumptions!$C$48,"After",INT((G32-Assumptions!$B$5)/7)+1))</f>
        <v>3</v>
      </c>
      <c r="I32" s="20" t="inlineStr">
        <is>
          <t>Xero bill</t>
        </is>
      </c>
      <c r="J32" s="3" t="inlineStr">
        <is>
          <t>BPAY on the due date</t>
        </is>
      </c>
    </row>
    <row r="33">
      <c r="A33" s="20" t="inlineStr">
        <is>
          <t>Persona Health</t>
        </is>
      </c>
      <c r="B33" s="34" t="inlineStr">
        <is>
          <t>INV-18315 - fitness for duty assessment</t>
        </is>
      </c>
      <c r="C33" s="47" t="n">
        <v>46275</v>
      </c>
      <c r="D33" s="48" t="n">
        <v>996.6</v>
      </c>
      <c r="E33" s="37" t="inlineStr">
        <is>
          <t>EFT</t>
        </is>
      </c>
      <c r="F33" s="37" t="inlineStr">
        <is>
          <t>Other</t>
        </is>
      </c>
      <c r="G33" s="47" t="n">
        <v>46316</v>
      </c>
      <c r="H33" s="20">
        <f>IF(G33&lt;Assumptions!$B$5,"Before",IF(G33&gt;Assumptions!$C$48,"After",INT((G33-Assumptions!$B$5)/7)+1))</f>
        <v>4</v>
      </c>
      <c r="I33" s="20" t="inlineStr">
        <is>
          <t>Xero bill</t>
        </is>
      </c>
      <c r="J33" s="3" t="inlineStr">
        <is>
          <t>GC said hold until he confirms. Assumed released week 4</t>
        </is>
      </c>
    </row>
    <row r="34">
      <c r="A34" s="20" t="inlineStr">
        <is>
          <t>Posh Services (Ambius)</t>
        </is>
      </c>
      <c r="B34" s="34" t="inlineStr">
        <is>
          <t>INV21736844 - indoor plants Sep</t>
        </is>
      </c>
      <c r="C34" s="47" t="n">
        <v>46304</v>
      </c>
      <c r="D34" s="48" t="n">
        <v>245</v>
      </c>
      <c r="E34" s="37" t="inlineStr">
        <is>
          <t>EFT</t>
        </is>
      </c>
      <c r="F34" s="37" t="inlineStr">
        <is>
          <t>Office</t>
        </is>
      </c>
      <c r="G34" s="47" t="n">
        <v>46304</v>
      </c>
      <c r="H34" s="20">
        <f>IF(G34&lt;Assumptions!$B$5,"Before",IF(G34&gt;Assumptions!$C$48,"After",INT((G34-Assumptions!$B$5)/7)+1))</f>
        <v>2</v>
      </c>
      <c r="I34" s="20" t="inlineStr">
        <is>
          <t>Xero bill</t>
        </is>
      </c>
      <c r="J34" s="3" t="inlineStr">
        <is>
          <t>On the due date</t>
        </is>
      </c>
    </row>
    <row r="35">
      <c r="A35" s="20" t="inlineStr">
        <is>
          <t>Ricoh Australia</t>
        </is>
      </c>
      <c r="B35" s="34" t="inlineStr">
        <is>
          <t>INV15759052 - printing Aug</t>
        </is>
      </c>
      <c r="C35" s="47" t="n">
        <v>46295</v>
      </c>
      <c r="D35" s="48" t="n">
        <v>235.6</v>
      </c>
      <c r="E35" s="37" t="inlineStr">
        <is>
          <t>DD</t>
        </is>
      </c>
      <c r="F35" s="37" t="inlineStr">
        <is>
          <t>Office</t>
        </is>
      </c>
      <c r="G35" s="47" t="n">
        <v>46295</v>
      </c>
      <c r="H35" s="20">
        <f>IF(G35&lt;Assumptions!$B$5,"Before",IF(G35&gt;Assumptions!$C$48,"After",INT((G35-Assumptions!$B$5)/7)+1))</f>
        <v>1</v>
      </c>
      <c r="I35" s="20" t="inlineStr">
        <is>
          <t>Xero bill</t>
        </is>
      </c>
      <c r="J35" s="3" t="inlineStr">
        <is>
          <t>Direct debit</t>
        </is>
      </c>
    </row>
    <row r="36">
      <c r="A36" s="20" t="inlineStr">
        <is>
          <t>RJW Group Holdings</t>
        </is>
      </c>
      <c r="B36" s="34" t="inlineStr">
        <is>
          <t>INV-0048 - website design balance</t>
        </is>
      </c>
      <c r="C36" s="47" t="n">
        <v>46295</v>
      </c>
      <c r="D36" s="48" t="n">
        <v>6600</v>
      </c>
      <c r="E36" s="37" t="inlineStr">
        <is>
          <t>EFT</t>
        </is>
      </c>
      <c r="F36" s="37" t="inlineStr">
        <is>
          <t>Advertising</t>
        </is>
      </c>
      <c r="G36" s="47" t="n">
        <v>46297</v>
      </c>
      <c r="H36" s="20">
        <f>IF(G36&lt;Assumptions!$B$5,"Before",IF(G36&gt;Assumptions!$C$48,"After",INT((G36-Assumptions!$B$5)/7)+1))</f>
        <v>1</v>
      </c>
      <c r="I36" s="20" t="inlineStr">
        <is>
          <t>Xero bill</t>
        </is>
      </c>
      <c r="J36" s="3" t="inlineStr">
        <is>
          <t>Check with DL before paying</t>
        </is>
      </c>
    </row>
    <row r="37">
      <c r="A37" s="20" t="inlineStr">
        <is>
          <t>Seek</t>
        </is>
      </c>
      <c r="B37" s="34" t="inlineStr">
        <is>
          <t>INV702112646 - job ad casual AV concierge</t>
        </is>
      </c>
      <c r="C37" s="47" t="n">
        <v>46283</v>
      </c>
      <c r="D37" s="48" t="n">
        <v>550</v>
      </c>
      <c r="E37" s="37" t="inlineStr">
        <is>
          <t>Card</t>
        </is>
      </c>
      <c r="F37" s="37" t="inlineStr">
        <is>
          <t>Recruitment</t>
        </is>
      </c>
      <c r="G37" s="47" t="n">
        <v>46283</v>
      </c>
      <c r="H37" s="20" t="str">
        <f>IF(G37&lt;Assumptions!$B$5,"Before",IF(G37&gt;Assumptions!$C$48,"After",INT((G37-Assumptions!$B$5)/7)+1))</f>
        <v>Before</v>
      </c>
      <c r="I37" s="20" t="inlineStr">
        <is>
          <t>Xero bill</t>
        </is>
      </c>
      <c r="J37" s="3" t="inlineStr">
        <is>
          <t>PL card</t>
        </is>
      </c>
    </row>
    <row r="38">
      <c r="A38" s="20" t="inlineStr">
        <is>
          <t>SPACERA</t>
        </is>
      </c>
      <c r="B38" s="34" t="inlineStr">
        <is>
          <t>INV-0056 - Aware Super national support (Sep)</t>
        </is>
      </c>
      <c r="C38" s="47" t="n">
        <v>46296</v>
      </c>
      <c r="D38" s="48" t="n">
        <v>5728.8</v>
      </c>
      <c r="E38" s="37" t="inlineStr">
        <is>
          <t>EFT</t>
        </is>
      </c>
      <c r="F38" s="37" t="inlineStr">
        <is>
          <t>Client subscriptions</t>
        </is>
      </c>
      <c r="G38" s="47" t="n">
        <v>46296</v>
      </c>
      <c r="H38" s="20">
        <f>IF(G38&lt;Assumptions!$B$5,"Before",IF(G38&gt;Assumptions!$C$48,"After",INT((G38-Assumptions!$B$5)/7)+1))</f>
        <v>1</v>
      </c>
      <c r="I38" s="20" t="inlineStr">
        <is>
          <t>Xero bill</t>
        </is>
      </c>
      <c r="J38" s="3" t="inlineStr">
        <is>
          <t>On the due date</t>
        </is>
      </c>
    </row>
    <row r="39">
      <c r="A39" s="20" t="inlineStr">
        <is>
          <t>Tec Art</t>
        </is>
      </c>
      <c r="B39" s="34" t="inlineStr">
        <is>
          <t>INV136603 - PRD asset purchase</t>
        </is>
      </c>
      <c r="C39" s="47" t="n">
        <v>46287</v>
      </c>
      <c r="D39" s="48" t="n">
        <v>657.5</v>
      </c>
      <c r="E39" s="37" t="inlineStr">
        <is>
          <t>Card</t>
        </is>
      </c>
      <c r="F39" s="37" t="inlineStr">
        <is>
          <t>Equipment purchases</t>
        </is>
      </c>
      <c r="G39" s="47" t="n">
        <v>46287</v>
      </c>
      <c r="H39" s="20" t="str">
        <f>IF(G39&lt;Assumptions!$B$5,"Before",IF(G39&gt;Assumptions!$C$48,"After",INT((G39-Assumptions!$B$5)/7)+1))</f>
        <v>Before</v>
      </c>
      <c r="I39" s="20" t="inlineStr">
        <is>
          <t>Xero bill</t>
        </is>
      </c>
      <c r="J39" s="3" t="inlineStr">
        <is>
          <t>PL card</t>
        </is>
      </c>
    </row>
    <row r="40">
      <c r="A40" s="20" t="inlineStr">
        <is>
          <t>Tec Art</t>
        </is>
      </c>
      <c r="B40" s="34" t="inlineStr">
        <is>
          <t>INV136603CR - refund</t>
        </is>
      </c>
      <c r="C40" s="47" t="n">
        <v>46289</v>
      </c>
      <c r="D40" s="48" t="n">
        <v>-657.5</v>
      </c>
      <c r="E40" s="37" t="inlineStr">
        <is>
          <t>Card</t>
        </is>
      </c>
      <c r="F40" s="37" t="inlineStr">
        <is>
          <t>Equipment purchases</t>
        </is>
      </c>
      <c r="G40" s="47" t="n">
        <v>46289</v>
      </c>
      <c r="H40" s="20" t="str">
        <f>IF(G40&lt;Assumptions!$B$5,"Before",IF(G40&gt;Assumptions!$C$48,"After",INT((G40-Assumptions!$B$5)/7)+1))</f>
        <v>Before</v>
      </c>
      <c r="I40" s="20" t="inlineStr">
        <is>
          <t>Xero bill</t>
        </is>
      </c>
      <c r="J40" s="3" t="inlineStr">
        <is>
          <t>Refund back to the PL card</t>
        </is>
      </c>
    </row>
    <row r="41">
      <c r="A41" s="20" t="inlineStr">
        <is>
          <t>Transport for NSW</t>
        </is>
      </c>
      <c r="B41" s="34" t="inlineStr">
        <is>
          <t>Opal top-up T Wood</t>
        </is>
      </c>
      <c r="C41" s="47" t="n">
        <v>46283</v>
      </c>
      <c r="D41" s="48" t="n">
        <v>20</v>
      </c>
      <c r="E41" s="37" t="inlineStr">
        <is>
          <t>Card</t>
        </is>
      </c>
      <c r="F41" s="37" t="inlineStr">
        <is>
          <t>Direct travel &amp; freight</t>
        </is>
      </c>
      <c r="G41" s="47" t="n">
        <v>46283</v>
      </c>
      <c r="H41" s="20" t="str">
        <f>IF(G41&lt;Assumptions!$B$5,"Before",IF(G41&gt;Assumptions!$C$48,"After",INT((G41-Assumptions!$B$5)/7)+1))</f>
        <v>Before</v>
      </c>
      <c r="I41" s="20" t="inlineStr">
        <is>
          <t>Xero bill</t>
        </is>
      </c>
      <c r="J41" s="3" t="inlineStr">
        <is>
          <t>Card</t>
        </is>
      </c>
    </row>
    <row r="42">
      <c r="A42" s="20" t="inlineStr">
        <is>
          <t>Virgin Australia</t>
        </is>
      </c>
      <c r="B42" s="34" t="inlineStr">
        <is>
          <t>SYMUMZ-3 - rescheduled flights D Hurley</t>
        </is>
      </c>
      <c r="C42" s="47" t="n">
        <v>46283</v>
      </c>
      <c r="D42" s="48" t="n">
        <v>501.91</v>
      </c>
      <c r="E42" s="37" t="inlineStr">
        <is>
          <t>Card</t>
        </is>
      </c>
      <c r="F42" s="37" t="inlineStr">
        <is>
          <t>Direct travel &amp; freight</t>
        </is>
      </c>
      <c r="G42" s="47" t="n">
        <v>46283</v>
      </c>
      <c r="H42" s="20" t="str">
        <f>IF(G42&lt;Assumptions!$B$5,"Before",IF(G42&gt;Assumptions!$C$48,"After",INT((G42-Assumptions!$B$5)/7)+1))</f>
        <v>Before</v>
      </c>
      <c r="I42" s="20" t="inlineStr">
        <is>
          <t>Xero bill</t>
        </is>
      </c>
      <c r="J42" s="3" t="inlineStr">
        <is>
          <t>Went on the PL card last time</t>
        </is>
      </c>
    </row>
    <row r="43">
      <c r="A43" s="20" t="inlineStr">
        <is>
          <t>Xero</t>
        </is>
      </c>
      <c r="B43" s="34" t="inlineStr">
        <is>
          <t>INV-56302114 - subscription Sep</t>
        </is>
      </c>
      <c r="C43" s="47" t="n">
        <v>46289</v>
      </c>
      <c r="D43" s="48" t="n">
        <v>107</v>
      </c>
      <c r="E43" s="37" t="inlineStr">
        <is>
          <t>Card</t>
        </is>
      </c>
      <c r="F43" s="37" t="inlineStr">
        <is>
          <t>Dues &amp; subscriptions</t>
        </is>
      </c>
      <c r="G43" s="47" t="n">
        <v>46289</v>
      </c>
      <c r="H43" s="20" t="str">
        <f>IF(G43&lt;Assumptions!$B$5,"Before",IF(G43&gt;Assumptions!$C$48,"After",INT((G43-Assumptions!$B$5)/7)+1))</f>
        <v>Before</v>
      </c>
      <c r="I43" s="20" t="inlineStr">
        <is>
          <t>Xero bill</t>
        </is>
      </c>
      <c r="J43" s="3" t="inlineStr">
        <is>
          <t>PL card</t>
        </is>
      </c>
    </row>
    <row r="44">
      <c r="A44" s="20" t="inlineStr">
        <is>
          <t>First Focus IT</t>
        </is>
      </c>
      <c r="B44" s="34" t="inlineStr">
        <is>
          <t>CORE Intelligent Managed Services - October</t>
        </is>
      </c>
      <c r="C44" s="47" t="n">
        <v>46311</v>
      </c>
      <c r="D44" s="48" t="n">
        <v>13755.77</v>
      </c>
      <c r="E44" s="37" t="inlineStr">
        <is>
          <t>DD</t>
        </is>
      </c>
      <c r="F44" s="37" t="inlineStr">
        <is>
          <t>IT support</t>
        </is>
      </c>
      <c r="G44" s="47" t="n">
        <v>46311</v>
      </c>
      <c r="H44" s="20">
        <f>IF(G44&lt;Assumptions!$B$5,"Before",IF(G44&gt;Assumptions!$C$48,"After",INT((G44-Assumptions!$B$5)/7)+1))</f>
        <v>3</v>
      </c>
      <c r="I44" s="20" t="inlineStr">
        <is>
          <t>Repeating template</t>
        </is>
      </c>
      <c r="J44" s="3" t="inlineStr">
        <is>
          <t>Template, DD</t>
        </is>
      </c>
    </row>
    <row r="45">
      <c r="A45" s="20" t="inlineStr">
        <is>
          <t>First Focus IT</t>
        </is>
      </c>
      <c r="B45" s="34" t="inlineStr">
        <is>
          <t>Managed Services Azure - October</t>
        </is>
      </c>
      <c r="C45" s="47" t="n">
        <v>46311</v>
      </c>
      <c r="D45" s="48" t="n">
        <v>710.5</v>
      </c>
      <c r="E45" s="37" t="inlineStr">
        <is>
          <t>DD</t>
        </is>
      </c>
      <c r="F45" s="37" t="inlineStr">
        <is>
          <t>IT support</t>
        </is>
      </c>
      <c r="G45" s="47" t="n">
        <v>46311</v>
      </c>
      <c r="H45" s="20">
        <f>IF(G45&lt;Assumptions!$B$5,"Before",IF(G45&gt;Assumptions!$C$48,"After",INT((G45-Assumptions!$B$5)/7)+1))</f>
        <v>3</v>
      </c>
      <c r="I45" s="20" t="inlineStr">
        <is>
          <t>Repeating template</t>
        </is>
      </c>
      <c r="J45" s="3" t="inlineStr">
        <is>
          <t>Template, DD</t>
        </is>
      </c>
    </row>
    <row r="46">
      <c r="A46" s="20" t="inlineStr">
        <is>
          <t>RJW Group Holdings</t>
        </is>
      </c>
      <c r="B46" s="34" t="inlineStr">
        <is>
          <t>Digital growth marketing - October</t>
        </is>
      </c>
      <c r="C46" s="47" t="n">
        <v>46316</v>
      </c>
      <c r="D46" s="48" t="n">
        <v>4675</v>
      </c>
      <c r="E46" s="37" t="inlineStr">
        <is>
          <t>EFT</t>
        </is>
      </c>
      <c r="F46" s="37" t="inlineStr">
        <is>
          <t>Advertising</t>
        </is>
      </c>
      <c r="G46" s="47" t="n">
        <v>46316</v>
      </c>
      <c r="H46" s="20">
        <f>IF(G46&lt;Assumptions!$B$5,"Before",IF(G46&gt;Assumptions!$C$48,"After",INT((G46-Assumptions!$B$5)/7)+1))</f>
        <v>4</v>
      </c>
      <c r="I46" s="20" t="inlineStr">
        <is>
          <t>Repeating template</t>
        </is>
      </c>
      <c r="J46" s="3" t="inlineStr">
        <is>
          <t>Template</t>
        </is>
      </c>
    </row>
    <row r="47">
      <c r="A47" s="20" t="inlineStr">
        <is>
          <t>Cleveland Partners (8020 Advisors)</t>
        </is>
      </c>
      <c r="B47" s="34" t="inlineStr">
        <is>
          <t>Monthly advisory fees</t>
        </is>
      </c>
      <c r="C47" s="47" t="n">
        <v>46302</v>
      </c>
      <c r="D47" s="48" t="n">
        <v>3850</v>
      </c>
      <c r="E47" s="37" t="inlineStr">
        <is>
          <t>EFT</t>
        </is>
      </c>
      <c r="F47" s="37" t="inlineStr">
        <is>
          <t>Professional fees</t>
        </is>
      </c>
      <c r="G47" s="47" t="n">
        <v>46302</v>
      </c>
      <c r="H47" s="20">
        <f>IF(G47&lt;Assumptions!$B$5,"Before",IF(G47&gt;Assumptions!$C$48,"After",INT((G47-Assumptions!$B$5)/7)+1))</f>
        <v>2</v>
      </c>
      <c r="I47" s="20" t="inlineStr">
        <is>
          <t>Repeating template</t>
        </is>
      </c>
      <c r="J47" s="3" t="inlineStr">
        <is>
          <t>Template $3,850 a month (Sep cash P&amp;L had $5,000). Date assumed</t>
        </is>
      </c>
    </row>
    <row r="48">
      <c r="A48" s="20" t="inlineStr">
        <is>
          <t>SPACERA</t>
        </is>
      </c>
      <c r="B48" s="34" t="inlineStr">
        <is>
          <t>Aware Super national support - October</t>
        </is>
      </c>
      <c r="C48" s="47" t="n">
        <v>46326</v>
      </c>
      <c r="D48" s="48" t="n">
        <v>5728.8</v>
      </c>
      <c r="E48" s="37" t="inlineStr">
        <is>
          <t>EFT</t>
        </is>
      </c>
      <c r="F48" s="37" t="inlineStr">
        <is>
          <t>Client subscriptions</t>
        </is>
      </c>
      <c r="G48" s="47" t="n">
        <v>46326</v>
      </c>
      <c r="H48" s="20">
        <f>IF(G48&lt;Assumptions!$B$5,"Before",IF(G48&gt;Assumptions!$C$48,"After",INT((G48-Assumptions!$B$5)/7)+1))</f>
        <v>5</v>
      </c>
      <c r="I48" s="20" t="inlineStr">
        <is>
          <t>Repeating template</t>
        </is>
      </c>
      <c r="J48" s="3" t="inlineStr">
        <is>
          <t>Template, due 31 Oct</t>
        </is>
      </c>
    </row>
    <row r="49">
      <c r="A49" s="20" t="inlineStr">
        <is>
          <t>LiveU</t>
        </is>
      </c>
      <c r="B49" s="34" t="inlineStr">
        <is>
          <t>SOLO standard data pack - October</t>
        </is>
      </c>
      <c r="C49" s="47" t="n">
        <v>46309</v>
      </c>
      <c r="D49" s="48" t="n">
        <v>1485</v>
      </c>
      <c r="E49" s="37" t="inlineStr">
        <is>
          <t>EFT</t>
        </is>
      </c>
      <c r="F49" s="37" t="inlineStr">
        <is>
          <t>Client subscriptions</t>
        </is>
      </c>
      <c r="G49" s="47" t="n">
        <v>46309</v>
      </c>
      <c r="H49" s="20">
        <f>IF(G49&lt;Assumptions!$B$5,"Before",IF(G49&gt;Assumptions!$C$48,"After",INT((G49-Assumptions!$B$5)/7)+1))</f>
        <v>3</v>
      </c>
      <c r="I49" s="20" t="inlineStr">
        <is>
          <t>Repeating template</t>
        </is>
      </c>
      <c r="J49" s="3" t="inlineStr">
        <is>
          <t>Template, due 14 Oct</t>
        </is>
      </c>
    </row>
    <row r="50">
      <c r="A50" s="20" t="inlineStr">
        <is>
          <t>Employsure</t>
        </is>
      </c>
      <c r="B50" s="34" t="inlineStr">
        <is>
          <t>42 of 60 - October</t>
        </is>
      </c>
      <c r="C50" s="47" t="n">
        <v>46300</v>
      </c>
      <c r="D50" s="48" t="n">
        <v>880</v>
      </c>
      <c r="E50" s="37" t="inlineStr">
        <is>
          <t>EFT</t>
        </is>
      </c>
      <c r="F50" s="37" t="inlineStr">
        <is>
          <t>Professional fees</t>
        </is>
      </c>
      <c r="G50" s="47" t="n">
        <v>46300</v>
      </c>
      <c r="H50" s="20">
        <f>IF(G50&lt;Assumptions!$B$5,"Before",IF(G50&gt;Assumptions!$C$48,"After",INT((G50-Assumptions!$B$5)/7)+1))</f>
        <v>2</v>
      </c>
      <c r="I50" s="20" t="inlineStr">
        <is>
          <t>Repeating template</t>
        </is>
      </c>
      <c r="J50" s="3" t="inlineStr">
        <is>
          <t>Template, due 5 Oct</t>
        </is>
      </c>
    </row>
    <row r="51">
      <c r="A51" s="20" t="inlineStr">
        <is>
          <t>The CEO Institute</t>
        </is>
      </c>
      <c r="B51" s="34" t="inlineStr">
        <is>
          <t>Syndicate membership (DL) - quarterly</t>
        </is>
      </c>
      <c r="C51" s="47" t="n">
        <v>46303</v>
      </c>
      <c r="D51" s="48" t="n">
        <v>2310</v>
      </c>
      <c r="E51" s="37" t="inlineStr">
        <is>
          <t>EFT</t>
        </is>
      </c>
      <c r="F51" s="37" t="inlineStr">
        <is>
          <t>Dues &amp; subscriptions</t>
        </is>
      </c>
      <c r="G51" s="47" t="n">
        <v>46303</v>
      </c>
      <c r="H51" s="20">
        <f>IF(G51&lt;Assumptions!$B$5,"Before",IF(G51&gt;Assumptions!$C$48,"After",INT((G51-Assumptions!$B$5)/7)+1))</f>
        <v>2</v>
      </c>
      <c r="I51" s="20" t="inlineStr">
        <is>
          <t>Repeating template</t>
        </is>
      </c>
      <c r="J51" s="3" t="inlineStr">
        <is>
          <t>Quarterly, due 8 Oct</t>
        </is>
      </c>
    </row>
    <row r="52">
      <c r="A52" s="20" t="inlineStr">
        <is>
          <t>Telstra</t>
        </is>
      </c>
      <c r="B52" s="34" t="inlineStr">
        <is>
          <t>Nighthawk data plans - October</t>
        </is>
      </c>
      <c r="C52" s="47" t="n">
        <v>46326</v>
      </c>
      <c r="D52" s="48" t="n">
        <v>130</v>
      </c>
      <c r="E52" s="37" t="inlineStr">
        <is>
          <t>EFT</t>
        </is>
      </c>
      <c r="F52" s="37" t="inlineStr">
        <is>
          <t>Telephone &amp; internet</t>
        </is>
      </c>
      <c r="G52" s="47" t="n">
        <v>46326</v>
      </c>
      <c r="H52" s="20">
        <f>IF(G52&lt;Assumptions!$B$5,"Before",IF(G52&gt;Assumptions!$C$48,"After",INT((G52-Assumptions!$B$5)/7)+1))</f>
        <v>5</v>
      </c>
      <c r="I52" s="20" t="inlineStr">
        <is>
          <t>Repeating template</t>
        </is>
      </c>
      <c r="J52" s="3" t="inlineStr">
        <is>
          <t>Repeating bill</t>
        </is>
      </c>
    </row>
    <row r="53">
      <c r="A53" s="20" t="inlineStr">
        <is>
          <t>Employment Hero</t>
        </is>
      </c>
      <c r="B53" s="34" t="inlineStr">
        <is>
          <t>Subscription - September</t>
        </is>
      </c>
      <c r="C53" s="47" t="n">
        <v>46325</v>
      </c>
      <c r="D53" s="48" t="n">
        <v>2048.2</v>
      </c>
      <c r="E53" s="37" t="inlineStr">
        <is>
          <t>Card</t>
        </is>
      </c>
      <c r="F53" s="37" t="inlineStr">
        <is>
          <t>Dues &amp; subscriptions</t>
        </is>
      </c>
      <c r="G53" s="47" t="n">
        <v>46295</v>
      </c>
      <c r="H53" s="20">
        <f>IF(G53&lt;Assumptions!$B$5,"Before",IF(G53&gt;Assumptions!$C$48,"After",INT((G53-Assumptions!$B$5)/7)+1))</f>
        <v>1</v>
      </c>
      <c r="I53" s="20" t="inlineStr">
        <is>
          <t>Repeating template</t>
        </is>
      </c>
      <c r="J53" s="3" t="inlineStr">
        <is>
          <t>PL card - in the credit card line</t>
        </is>
      </c>
    </row>
    <row r="54">
      <c r="A54" s="20" t="inlineStr">
        <is>
          <t>Goget Carshare</t>
        </is>
      </c>
      <c r="B54" s="34" t="inlineStr">
        <is>
          <t>September usage</t>
        </is>
      </c>
      <c r="C54" s="47" t="n">
        <v>46325</v>
      </c>
      <c r="D54" s="48" t="n">
        <v>1783.07</v>
      </c>
      <c r="E54" s="37" t="inlineStr">
        <is>
          <t>Card</t>
        </is>
      </c>
      <c r="F54" s="37" t="inlineStr">
        <is>
          <t>Direct travel &amp; freight</t>
        </is>
      </c>
      <c r="G54" s="47" t="n">
        <v>46295</v>
      </c>
      <c r="H54" s="20">
        <f>IF(G54&lt;Assumptions!$B$5,"Before",IF(G54&gt;Assumptions!$C$48,"After",INT((G54-Assumptions!$B$5)/7)+1))</f>
        <v>1</v>
      </c>
      <c r="I54" s="20" t="inlineStr">
        <is>
          <t>Repeating template</t>
        </is>
      </c>
      <c r="J54" s="3" t="inlineStr">
        <is>
          <t>PL card - in the credit card line</t>
        </is>
      </c>
    </row>
    <row r="55">
      <c r="A55" s="20" t="inlineStr">
        <is>
          <t>Zoom</t>
        </is>
      </c>
      <c r="B55" s="34" t="inlineStr">
        <is>
          <t>Monthly subscription</t>
        </is>
      </c>
      <c r="C55" s="47" t="n">
        <v>46323</v>
      </c>
      <c r="D55" s="48" t="n">
        <v>323.97</v>
      </c>
      <c r="E55" s="37" t="inlineStr">
        <is>
          <t>Card</t>
        </is>
      </c>
      <c r="F55" s="37" t="inlineStr">
        <is>
          <t>Dues &amp; subscriptions</t>
        </is>
      </c>
      <c r="G55" s="47" t="n">
        <v>46323</v>
      </c>
      <c r="H55" s="20">
        <f>IF(G55&lt;Assumptions!$B$5,"Before",IF(G55&gt;Assumptions!$C$48,"After",INT((G55-Assumptions!$B$5)/7)+1))</f>
        <v>5</v>
      </c>
      <c r="I55" s="20" t="inlineStr">
        <is>
          <t>Repeating template</t>
        </is>
      </c>
      <c r="J55" s="3" t="inlineStr">
        <is>
          <t>PL card</t>
        </is>
      </c>
    </row>
    <row r="56">
      <c r="A56" s="20" t="inlineStr">
        <is>
          <t>Insphire (Current RMS)</t>
        </is>
      </c>
      <c r="B56" s="34" t="inlineStr">
        <is>
          <t>October</t>
        </is>
      </c>
      <c r="C56" s="47" t="n">
        <v>46311</v>
      </c>
      <c r="D56" s="48" t="n">
        <v>431</v>
      </c>
      <c r="E56" s="37" t="inlineStr">
        <is>
          <t>Card</t>
        </is>
      </c>
      <c r="F56" s="37" t="inlineStr">
        <is>
          <t>Dues &amp; subscriptions</t>
        </is>
      </c>
      <c r="G56" s="47" t="n">
        <v>46311</v>
      </c>
      <c r="H56" s="20">
        <f>IF(G56&lt;Assumptions!$B$5,"Before",IF(G56&gt;Assumptions!$C$48,"After",INT((G56-Assumptions!$B$5)/7)+1))</f>
        <v>3</v>
      </c>
      <c r="I56" s="20" t="inlineStr">
        <is>
          <t>Repeating template</t>
        </is>
      </c>
      <c r="J56" s="3" t="inlineStr">
        <is>
          <t>PL card</t>
        </is>
      </c>
    </row>
    <row r="57">
      <c r="A57" s="20" t="inlineStr">
        <is>
          <t>Optus</t>
        </is>
      </c>
      <c r="B57" s="34" t="inlineStr">
        <is>
          <t>Office internet &amp; landline - October</t>
        </is>
      </c>
      <c r="C57" s="47" t="n">
        <v>46316</v>
      </c>
      <c r="D57" s="48" t="n">
        <v>629.66</v>
      </c>
      <c r="E57" s="37" t="inlineStr">
        <is>
          <t>Card</t>
        </is>
      </c>
      <c r="F57" s="37" t="inlineStr">
        <is>
          <t>Telephone &amp; internet</t>
        </is>
      </c>
      <c r="G57" s="47" t="n">
        <v>46316</v>
      </c>
      <c r="H57" s="20">
        <f>IF(G57&lt;Assumptions!$B$5,"Before",IF(G57&gt;Assumptions!$C$48,"After",INT((G57-Assumptions!$B$5)/7)+1))</f>
        <v>4</v>
      </c>
      <c r="I57" s="20" t="inlineStr">
        <is>
          <t>Repeating template</t>
        </is>
      </c>
      <c r="J57" s="3" t="inlineStr">
        <is>
          <t>PL card</t>
        </is>
      </c>
    </row>
    <row r="58">
      <c r="A58" s="20" t="inlineStr">
        <is>
          <t>Adobe / Spotify / Avangate / Telstra recharges / misc</t>
        </is>
      </c>
      <c r="B58" s="34" t="inlineStr">
        <is>
          <t>Small monthly subscriptions</t>
        </is>
      </c>
      <c r="C58" s="47" t="n">
        <v>46310</v>
      </c>
      <c r="D58" s="48" t="n">
        <v>700</v>
      </c>
      <c r="E58" s="37" t="inlineStr">
        <is>
          <t>Card</t>
        </is>
      </c>
      <c r="F58" s="37" t="inlineStr">
        <is>
          <t>Dues &amp; subscriptions</t>
        </is>
      </c>
      <c r="G58" s="47" t="n">
        <v>46310</v>
      </c>
      <c r="H58" s="20">
        <f>IF(G58&lt;Assumptions!$B$5,"Before",IF(G58&gt;Assumptions!$C$48,"After",INT((G58-Assumptions!$B$5)/7)+1))</f>
        <v>3</v>
      </c>
      <c r="I58" s="20" t="inlineStr">
        <is>
          <t>Repeating template</t>
        </is>
      </c>
      <c r="J58" s="3" t="inlineStr">
        <is>
          <t>PL / DL cards - approx</t>
        </is>
      </c>
    </row>
    <row r="59">
      <c r="A59" s="20" t="inlineStr">
        <is>
          <t>Investa Asset Management</t>
        </is>
      </c>
      <c r="B59" s="34" t="inlineStr">
        <is>
          <t>Rent October 2026</t>
        </is>
      </c>
      <c r="C59" s="47" t="n">
        <v>46348</v>
      </c>
      <c r="D59" s="48" t="n">
        <v>29280.72</v>
      </c>
      <c r="E59" s="37" t="inlineStr">
        <is>
          <t>EFT</t>
        </is>
      </c>
      <c r="F59" s="37" t="inlineStr">
        <is>
          <t>Rent</t>
        </is>
      </c>
      <c r="G59" s="47" t="n">
        <v>46348</v>
      </c>
      <c r="H59" s="20" t="str">
        <f>IF(G59&lt;Assumptions!$B$5,"Before",IF(G59&gt;Assumptions!$C$48,"After",INT((G59-Assumptions!$B$5)/7)+1))</f>
        <v>After</v>
      </c>
      <c r="I59" s="20" t="inlineStr">
        <is>
          <t>Repeating template</t>
        </is>
      </c>
      <c r="J59" s="3" t="inlineStr">
        <is>
          <t>Invoiced ~22 Oct, due ~22 Nov - after this forecast</t>
        </is>
      </c>
    </row>
    <row r="60">
      <c r="A60" s="20" t="inlineStr">
        <is>
          <t>Optus</t>
        </is>
      </c>
      <c r="B60" s="34" t="inlineStr">
        <is>
          <t>Staff mobiles - October</t>
        </is>
      </c>
      <c r="C60" s="47" t="n">
        <v>46334</v>
      </c>
      <c r="D60" s="48" t="n">
        <v>804.0599999999999</v>
      </c>
      <c r="E60" s="37" t="inlineStr">
        <is>
          <t>BPAY</t>
        </is>
      </c>
      <c r="F60" s="37" t="inlineStr">
        <is>
          <t>Telephone &amp; internet</t>
        </is>
      </c>
      <c r="G60" s="47" t="n">
        <v>46334</v>
      </c>
      <c r="H60" s="20" t="str">
        <f>IF(G60&lt;Assumptions!$B$5,"Before",IF(G60&gt;Assumptions!$C$48,"After",INT((G60-Assumptions!$B$5)/7)+1))</f>
        <v>After</v>
      </c>
      <c r="I60" s="20" t="inlineStr">
        <is>
          <t>Repeating template</t>
        </is>
      </c>
      <c r="J60" s="3" t="inlineStr">
        <is>
          <t>Due 8 Nov - after this forecast</t>
        </is>
      </c>
    </row>
    <row r="61">
      <c r="A61" s="14" t="inlineStr">
        <is>
          <t>TOTAL open bills in Xero (should be $283,042.53)</t>
        </is>
      </c>
      <c r="B61" s="17" t="n"/>
      <c r="C61" s="17" t="n"/>
      <c r="D61" s="51">
        <f>SUMIFS(D19:D60,I19:I60,"Xero bill")</f>
        <v>283042.54000000004</v>
      </c>
      <c r="E61" s="17" t="n"/>
      <c r="F61" s="17" t="n"/>
      <c r="G61" s="17" t="n"/>
      <c r="H61" s="17" t="n"/>
      <c r="I61" s="17" t="n"/>
      <c r="J61" s="17" t="n"/>
    </row>
    <row r="62">
      <c r="A62" s="33" t="inlineStr">
        <is>
          <t>of which paid by card (left out - see the credit card line)</t>
        </is>
      </c>
      <c r="D62" s="36">
        <f>SUMIFS(D19:D60,E19:E60,"Card",I19:I60,"Xero bill")</f>
        <v>3728.52</v>
      </c>
    </row>
    <row r="63">
      <c r="A63" s="33" t="inlineStr">
        <is>
          <t>Templates (non-card) inside the forecast</t>
        </is>
      </c>
      <c r="D63" s="36">
        <f>SUMIFS(D19:D60,I19:I60,"Repeating template",E19:E60,"&lt;&gt;Card",G19:G60,"&gt;="&amp;Assumptions!$B$5,G19:G60,"&lt;="&amp;Assumptions!$C$48)</f>
        <v>33525.07</v>
      </c>
    </row>
    <row r="64">
      <c r="A64" s="33" t="inlineStr">
        <is>
          <t>Non-card bills dated past the forecast (Complete AV labour hold, Oct rent, Oct mobiles)</t>
        </is>
      </c>
      <c r="D64" s="36">
        <f>SUMIFS(D19:D60,E19:E60,"&lt;&gt;Card",G19:G60,"&gt;"&amp;Assumptions!$C$48)</f>
        <v>72040.76000000001</v>
      </c>
    </row>
  </sheetData>
  <autoFilter ref="A18:J60"/>
  <mergeCells count="1">
    <mergeCell ref="A17:J17"/>
  </mergeCells>
  <conditionalFormatting sqref="A19:J60">
    <cfRule type="expression" priority="1" dxfId="0">
      <formula>$H19=1</formula>
    </cfRule>
  </conditionalFormatting>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fitToPage="1"/>
  </sheetPr>
  <dimension ref="A1:E62"/>
  <sheetViews>
    <sheetView showGridLines="0" workbookViewId="0">
      <pane ySplit="4" topLeftCell="A5" activePane="bottomLeft" state="frozen"/>
      <selection pane="bottomLeft" activeCell="A1" sqref="A1"/>
    </sheetView>
  </sheetViews>
  <sheetFormatPr baseColWidth="8" defaultRowHeight="15"/>
  <cols>
    <col width="62" customWidth="1" min="1" max="1"/>
    <col width="8" customWidth="1" min="2" max="2"/>
    <col width="14" customWidth="1" min="3" max="3"/>
    <col width="16" customWidth="1" min="4" max="4"/>
    <col width="60" customWidth="1" min="5" max="5"/>
  </cols>
  <sheetData>
    <row r="1">
      <c r="A1" s="1" t="inlineStr">
        <is>
          <t>Complete AV Solutions - INV41565 - what we're paying and what's held</t>
        </is>
      </c>
    </row>
    <row r="2" ht="42" customHeight="1">
      <c r="A2" s="3" t="inlineStr">
        <is>
          <t>Aware Super seminar room audio upgrade (Q-12140v1, PO-00016902). Bill total $178,119.25 inc GST, dated 1 Sep, due 26 Sep. Agreed 28 Sep (Graham / Jordan): pay the materials now, hold labour and programming until Aware sign off and we get the handover docs. Line items are straight off the bill in Xero.</t>
        </is>
      </c>
    </row>
    <row r="3"/>
    <row r="4">
      <c r="A4" s="7" t="inlineStr">
        <is>
          <t>Line on the bill</t>
        </is>
      </c>
      <c r="B4" s="7" t="inlineStr">
        <is>
          <t>Qty</t>
        </is>
      </c>
      <c r="C4" s="7" t="inlineStr">
        <is>
          <t>Unit (ex GST)</t>
        </is>
      </c>
      <c r="D4" s="7" t="inlineStr">
        <is>
          <t>Amount (ex GST)</t>
        </is>
      </c>
      <c r="E4" s="7" t="inlineStr">
        <is>
          <t>Notes</t>
        </is>
      </c>
    </row>
    <row r="5">
      <c r="A5" s="24" t="inlineStr">
        <is>
          <t>Hardware</t>
        </is>
      </c>
    </row>
    <row r="6">
      <c r="A6" s="20" t="inlineStr">
        <is>
          <t xml:space="preserve">   Crestron DM-NVX-E30 4K network AV encoder</t>
        </is>
      </c>
      <c r="B6" s="74" t="n">
        <v>6</v>
      </c>
      <c r="C6" s="48" t="n">
        <v>1345.56</v>
      </c>
      <c r="D6" s="36">
        <f>B6*C6</f>
        <v>8073.36</v>
      </c>
    </row>
    <row r="7">
      <c r="A7" s="20" t="inlineStr">
        <is>
          <t xml:space="preserve">   Crestron DM-NVX-385 AV-over-IP switcher</t>
        </is>
      </c>
      <c r="B7" s="74" t="n">
        <v>2</v>
      </c>
      <c r="C7" s="48" t="n">
        <v>3390.25</v>
      </c>
      <c r="D7" s="36">
        <f>B7*C7</f>
        <v>6780.5</v>
      </c>
    </row>
    <row r="8">
      <c r="A8" s="20" t="inlineStr">
        <is>
          <t xml:space="preserve">   Crestron DM-NVX-360 encoder/decoder</t>
        </is>
      </c>
      <c r="B8" s="74" t="n">
        <v>8</v>
      </c>
      <c r="C8" s="48" t="n">
        <v>2144.14</v>
      </c>
      <c r="D8" s="36">
        <f>B8*C8</f>
        <v>17153.12</v>
      </c>
    </row>
    <row r="9">
      <c r="A9" s="20" t="inlineStr">
        <is>
          <t xml:space="preserve">   Panasonic AW-UE40 4K integrated camera</t>
        </is>
      </c>
      <c r="B9" s="74" t="n">
        <v>4</v>
      </c>
      <c r="C9" s="48" t="n">
        <v>4063.96</v>
      </c>
      <c r="D9" s="36">
        <f>B9*C9</f>
        <v>16255.84</v>
      </c>
    </row>
    <row r="10">
      <c r="A10" s="20" t="inlineStr">
        <is>
          <t xml:space="preserve">   Crestron UC-C100-T Teams Rooms integrator kit</t>
        </is>
      </c>
      <c r="B10" s="74" t="n">
        <v>2</v>
      </c>
      <c r="C10" s="48" t="n">
        <v>5350.41</v>
      </c>
      <c r="D10" s="36">
        <f>B10*C10</f>
        <v>10700.82</v>
      </c>
    </row>
    <row r="11">
      <c r="A11" s="20" t="inlineStr">
        <is>
          <t xml:space="preserve">   Q-SYS Core 24f DSP</t>
        </is>
      </c>
      <c r="B11" s="74" t="n">
        <v>2</v>
      </c>
      <c r="C11" s="48" t="n">
        <v>8295.67</v>
      </c>
      <c r="D11" s="36">
        <f>B11*C11</f>
        <v>16591.34</v>
      </c>
    </row>
    <row r="12">
      <c r="A12" s="20" t="inlineStr">
        <is>
          <t xml:space="preserve">   Crestron DM-NAX Bluetooth audio wall plate</t>
        </is>
      </c>
      <c r="B12" s="74" t="n">
        <v>2</v>
      </c>
      <c r="C12" s="48" t="n">
        <v>815.49</v>
      </c>
      <c r="D12" s="36">
        <f>B12*C12</f>
        <v>1630.98</v>
      </c>
    </row>
    <row r="13">
      <c r="A13" s="20" t="inlineStr">
        <is>
          <t xml:space="preserve">   Crestron FP-G1-B-T face plate</t>
        </is>
      </c>
      <c r="B13" s="74" t="n">
        <v>2</v>
      </c>
      <c r="C13" s="48" t="n">
        <v>21</v>
      </c>
      <c r="D13" s="36">
        <f>B13*C13</f>
        <v>42</v>
      </c>
    </row>
    <row r="14">
      <c r="A14" s="20" t="inlineStr">
        <is>
          <t xml:space="preserve">   Crestron TSS-880 room scheduling touch screen</t>
        </is>
      </c>
      <c r="B14" s="74" t="n">
        <v>2</v>
      </c>
      <c r="C14" s="48" t="n">
        <v>1223.23</v>
      </c>
      <c r="D14" s="36">
        <f>B14*C14</f>
        <v>2446.46</v>
      </c>
    </row>
    <row r="15">
      <c r="A15" s="20" t="inlineStr">
        <is>
          <t xml:space="preserve">   Crestron TSW-1080 wall mount touch screen</t>
        </is>
      </c>
      <c r="B15" s="74" t="n">
        <v>2</v>
      </c>
      <c r="C15" s="48" t="n">
        <v>3186.38</v>
      </c>
      <c r="D15" s="36">
        <f>B15*C15</f>
        <v>6372.76</v>
      </c>
    </row>
    <row r="16">
      <c r="A16" s="20" t="inlineStr">
        <is>
          <t xml:space="preserve">   Crestron CP4N control system</t>
        </is>
      </c>
      <c r="B16" s="74" t="n">
        <v>1</v>
      </c>
      <c r="C16" s="48" t="n">
        <v>3032.23</v>
      </c>
      <c r="D16" s="36">
        <f>B16*C16</f>
        <v>3032.23</v>
      </c>
    </row>
    <row r="17">
      <c r="A17" s="20" t="inlineStr">
        <is>
          <t xml:space="preserve">   Netgear M4250 PoE+ managed switch</t>
        </is>
      </c>
      <c r="B17" s="74" t="n">
        <v>2</v>
      </c>
      <c r="C17" s="48" t="n">
        <v>3179.58</v>
      </c>
      <c r="D17" s="36">
        <f>B17*C17</f>
        <v>6359.16</v>
      </c>
    </row>
    <row r="18">
      <c r="A18" s="20" t="inlineStr">
        <is>
          <t xml:space="preserve">   Netgear AXC761 SFP+ transceiver</t>
        </is>
      </c>
      <c r="B18" s="74" t="n">
        <v>2</v>
      </c>
      <c r="C18" s="48" t="n">
        <v>121.46</v>
      </c>
      <c r="D18" s="36">
        <f>B18*C18</f>
        <v>242.92</v>
      </c>
    </row>
    <row r="19">
      <c r="A19" s="20" t="inlineStr">
        <is>
          <t xml:space="preserve">   Crestron DM-NVX-E30 encoder (second batch)</t>
        </is>
      </c>
      <c r="B19" s="74" t="n">
        <v>2</v>
      </c>
      <c r="C19" s="48" t="n">
        <v>1517.06</v>
      </c>
      <c r="D19" s="36">
        <f>B19*C19</f>
        <v>3034.12</v>
      </c>
    </row>
    <row r="20">
      <c r="A20" s="20" t="inlineStr">
        <is>
          <t xml:space="preserve">   Panasonic AW-SF200Z auto tracking software</t>
        </is>
      </c>
      <c r="B20" s="74" t="n">
        <v>1</v>
      </c>
      <c r="C20" s="48" t="n">
        <v>2541.01</v>
      </c>
      <c r="D20" s="36">
        <f>B20*C20</f>
        <v>2541.01</v>
      </c>
    </row>
    <row r="21">
      <c r="A21" s="20" t="inlineStr">
        <is>
          <t xml:space="preserve">   Panasonic AW-SF300Z visual preset software</t>
        </is>
      </c>
      <c r="B21" s="74" t="n">
        <v>1</v>
      </c>
      <c r="C21" s="48" t="n">
        <v>1921.47</v>
      </c>
      <c r="D21" s="36">
        <f>B21*C21</f>
        <v>1921.47</v>
      </c>
    </row>
    <row r="22">
      <c r="A22" s="20" t="inlineStr">
        <is>
          <t xml:space="preserve">   Panasonic AW-SF501Z auto framing software</t>
        </is>
      </c>
      <c r="B22" s="74" t="n">
        <v>1</v>
      </c>
      <c r="C22" s="48" t="n">
        <v>5309.33</v>
      </c>
      <c r="D22" s="36">
        <f>B22*C22</f>
        <v>5309.33</v>
      </c>
    </row>
    <row r="23">
      <c r="A23" s="20" t="inlineStr">
        <is>
          <t xml:space="preserve">   Precision Computers 4U rack-mount PC</t>
        </is>
      </c>
      <c r="B23" s="74" t="n">
        <v>1</v>
      </c>
      <c r="C23" s="48" t="n">
        <v>3883.95</v>
      </c>
      <c r="D23" s="36">
        <f>B23*C23</f>
        <v>3883.95</v>
      </c>
    </row>
    <row r="24">
      <c r="A24" s="20" t="inlineStr">
        <is>
          <t xml:space="preserve">   Sennheiser TeamConnect Ceiling 2 mic</t>
        </is>
      </c>
      <c r="B24" s="74" t="n">
        <v>4</v>
      </c>
      <c r="C24" s="48" t="n">
        <v>5946.65</v>
      </c>
      <c r="D24" s="36">
        <f>B24*C24</f>
        <v>23786.6</v>
      </c>
    </row>
    <row r="25">
      <c r="A25" s="20" t="inlineStr">
        <is>
          <t xml:space="preserve">   Q-SYS Dante 16x16 licence</t>
        </is>
      </c>
      <c r="B25" s="74" t="n">
        <v>1</v>
      </c>
      <c r="C25" s="48" t="n">
        <v>743.84</v>
      </c>
      <c r="D25" s="36">
        <f>B25*C25</f>
        <v>743.84</v>
      </c>
    </row>
    <row r="26">
      <c r="A26" s="20" t="inlineStr">
        <is>
          <t xml:space="preserve">   Graphics card</t>
        </is>
      </c>
      <c r="B26" s="74" t="n">
        <v>1</v>
      </c>
      <c r="C26" s="48" t="n">
        <v>2153.7</v>
      </c>
      <c r="D26" s="36">
        <f>B26*C26</f>
        <v>2153.7</v>
      </c>
    </row>
    <row r="27">
      <c r="A27" s="20" t="inlineStr">
        <is>
          <t xml:space="preserve">   RMB hardware added</t>
        </is>
      </c>
      <c r="B27" s="74" t="n">
        <v>1</v>
      </c>
      <c r="C27" s="48" t="n">
        <v>321.5</v>
      </c>
      <c r="D27" s="36">
        <f>B27*C27</f>
        <v>321.5</v>
      </c>
    </row>
    <row r="28">
      <c r="A28" s="20" t="inlineStr">
        <is>
          <t xml:space="preserve">   Less: removed Panasonic cameras &amp; licences</t>
        </is>
      </c>
      <c r="B28" s="74" t="n">
        <v>1</v>
      </c>
      <c r="C28" s="48" t="n">
        <v>-7281.07</v>
      </c>
      <c r="D28" s="36">
        <f>B28*C28</f>
        <v>-7281.07</v>
      </c>
    </row>
    <row r="29">
      <c r="A29" s="20" t="inlineStr">
        <is>
          <t xml:space="preserve">   Less: removed control processor</t>
        </is>
      </c>
      <c r="B29" s="74" t="n">
        <v>1</v>
      </c>
      <c r="C29" s="48" t="n">
        <v>-3032.23</v>
      </c>
      <c r="D29" s="36">
        <f>B29*C29</f>
        <v>-3032.23</v>
      </c>
    </row>
    <row r="30">
      <c r="A30" s="20" t="inlineStr">
        <is>
          <t xml:space="preserve">   Less: removed camera Crestron decoder</t>
        </is>
      </c>
      <c r="B30" s="74" t="n">
        <v>1</v>
      </c>
      <c r="C30" s="48" t="n">
        <v>-4600.2</v>
      </c>
      <c r="D30" s="36">
        <f>B30*C30</f>
        <v>-4600.2</v>
      </c>
    </row>
    <row r="31">
      <c r="A31" s="9" t="inlineStr">
        <is>
          <t>Hardware subtotal</t>
        </is>
      </c>
      <c r="B31" s="12" t="n"/>
      <c r="C31" s="12" t="n"/>
      <c r="D31" s="75">
        <f>SUM(D6:D30)</f>
        <v>124463.51</v>
      </c>
      <c r="E31" s="12" t="n"/>
    </row>
    <row r="32">
      <c r="A32" s="24" t="inlineStr">
        <is>
          <t>Consumables and delivery</t>
        </is>
      </c>
    </row>
    <row r="33">
      <c r="A33" s="20" t="inlineStr">
        <is>
          <t xml:space="preserve">   Cables, fixings and hardware (4 lines: $1,515.30 + $696.24 + $934.08 + $691.60)</t>
        </is>
      </c>
      <c r="D33" s="48" t="n">
        <v>3837.22</v>
      </c>
    </row>
    <row r="34">
      <c r="A34" s="20" t="inlineStr">
        <is>
          <t xml:space="preserve">   Freight &amp; handling (3 lines: $100.00 + $53.20 + $59.85)</t>
        </is>
      </c>
      <c r="D34" s="48" t="n">
        <v>213.05</v>
      </c>
    </row>
    <row r="35">
      <c r="A35" s="20" t="inlineStr">
        <is>
          <t xml:space="preserve">   E-waste / waste management (3 lines: $59.85 + $39.90 + $19.95)</t>
        </is>
      </c>
      <c r="D35" s="48" t="n">
        <v>119.7</v>
      </c>
    </row>
    <row r="36">
      <c r="A36" s="9" t="inlineStr">
        <is>
          <t>Consumables subtotal</t>
        </is>
      </c>
      <c r="B36" s="12" t="n"/>
      <c r="C36" s="12" t="n"/>
      <c r="D36" s="75">
        <f>SUM(D33:D35)</f>
        <v>4169.97</v>
      </c>
      <c r="E36" s="12" t="n"/>
    </row>
    <row r="37"/>
    <row r="38"/>
    <row r="39"/>
    <row r="40">
      <c r="A40" s="14" t="inlineStr">
        <is>
          <t>Materials subtotal (ex GST)</t>
        </is>
      </c>
      <c r="B40" s="17" t="n"/>
      <c r="C40" s="17" t="n"/>
      <c r="D40" s="51">
        <f>D31+D36</f>
        <v>128633.48</v>
      </c>
      <c r="E40" s="17" t="n"/>
    </row>
    <row r="41">
      <c r="A41" s="20" t="inlineStr">
        <is>
          <t>Less: Complete AV's own line 'Remaining claim balance $4,848.68 to be invoiced'</t>
        </is>
      </c>
      <c r="D41" s="48" t="n">
        <v>-4848.68</v>
      </c>
      <c r="E41" s="3" t="inlineStr">
        <is>
          <t>Their reduction, not allocated to anything. Taken off the part we're paying now - conservative. If you'd rather take it off the held labour, pay $141,496.83 and hold $36,622.43.</t>
        </is>
      </c>
    </row>
    <row r="42">
      <c r="A42" s="24" t="inlineStr">
        <is>
          <t>Materials net (ex GST)</t>
        </is>
      </c>
      <c r="D42" s="76">
        <f>D40+D41</f>
        <v>123784.79999999999</v>
      </c>
    </row>
    <row r="43">
      <c r="A43" s="20" t="inlineStr">
        <is>
          <t>GST 10%</t>
        </is>
      </c>
      <c r="D43" s="36">
        <f>ROUND(D42*0.1,2)</f>
        <v>12378.48</v>
      </c>
    </row>
    <row r="44">
      <c r="A44" s="56" t="inlineStr">
        <is>
          <t>PAYING NOW (incl GST)</t>
        </is>
      </c>
      <c r="B44" s="58" t="n"/>
      <c r="C44" s="58" t="n"/>
      <c r="D44" s="77">
        <f>D42+D43</f>
        <v>136163.28</v>
      </c>
      <c r="E44" s="58" t="n"/>
    </row>
    <row r="45"/>
    <row r="46">
      <c r="A46" s="56" t="inlineStr">
        <is>
          <t>Pay on</t>
        </is>
      </c>
      <c r="B46" s="58" t="n"/>
      <c r="C46" s="58" t="n"/>
      <c r="D46" s="78" t="n">
        <v>46295</v>
      </c>
      <c r="E46" s="59" t="n"/>
    </row>
    <row r="47"/>
    <row r="48">
      <c r="A48" s="7" t="inlineStr">
        <is>
          <t>HELD - labour and programming (until Aware sign off + handover docs)</t>
        </is>
      </c>
      <c r="B48" s="19" t="n"/>
      <c r="C48" s="19" t="n"/>
      <c r="D48" s="19" t="n"/>
      <c r="E48" s="19" t="n"/>
    </row>
    <row r="49">
      <c r="A49" s="20" t="inlineStr">
        <is>
          <t xml:space="preserve">   Labour &amp; programming</t>
        </is>
      </c>
      <c r="D49" s="48" t="n">
        <v>23320</v>
      </c>
    </row>
    <row r="50">
      <c r="A50" s="20" t="inlineStr">
        <is>
          <t xml:space="preserve">   Labour</t>
        </is>
      </c>
      <c r="D50" s="48" t="n">
        <v>7196</v>
      </c>
    </row>
    <row r="51">
      <c r="A51" s="20" t="inlineStr">
        <is>
          <t xml:space="preserve">   Labour</t>
        </is>
      </c>
      <c r="D51" s="48" t="n">
        <v>6561.8</v>
      </c>
    </row>
    <row r="52">
      <c r="A52" s="20" t="inlineStr">
        <is>
          <t xml:space="preserve">   Lighting integration programming (coded to equipment in Xero, but it's programming)</t>
        </is>
      </c>
      <c r="D52" s="48" t="n">
        <v>1064</v>
      </c>
    </row>
    <row r="53">
      <c r="A53" s="9" t="inlineStr">
        <is>
          <t>Held (ex GST)</t>
        </is>
      </c>
      <c r="B53" s="12" t="n"/>
      <c r="C53" s="12" t="n"/>
      <c r="D53" s="75">
        <f>SUM(D49:D52)</f>
        <v>38141.8</v>
      </c>
      <c r="E53" s="12" t="n"/>
    </row>
    <row r="54">
      <c r="A54" s="20" t="inlineStr">
        <is>
          <t>GST 10%</t>
        </is>
      </c>
      <c r="D54" s="36">
        <f>ROUND(D53*0.1,2)</f>
        <v>3814.18</v>
      </c>
    </row>
    <row r="55">
      <c r="A55" s="69" t="inlineStr">
        <is>
          <t>HELD (incl GST)</t>
        </is>
      </c>
      <c r="B55" s="71" t="n"/>
      <c r="C55" s="71" t="n"/>
      <c r="D55" s="79">
        <f>D53+D54</f>
        <v>41955.98</v>
      </c>
      <c r="E55" s="71" t="n"/>
    </row>
    <row r="56"/>
    <row r="57">
      <c r="A57" s="24" t="inlineStr">
        <is>
          <t>Check</t>
        </is>
      </c>
    </row>
    <row r="58">
      <c r="A58" s="20" t="inlineStr">
        <is>
          <t xml:space="preserve">   Paying now + held</t>
        </is>
      </c>
      <c r="D58" s="36">
        <f>D44+D55</f>
        <v>178119.26</v>
      </c>
    </row>
    <row r="59">
      <c r="A59" s="20" t="inlineStr">
        <is>
          <t xml:space="preserve">   Bill total per Xero</t>
        </is>
      </c>
      <c r="D59" s="48" t="n">
        <v>178119.25</v>
      </c>
    </row>
    <row r="60">
      <c r="A60" s="20" t="inlineStr">
        <is>
          <t xml:space="preserve">   Difference (rounding)</t>
        </is>
      </c>
      <c r="D60" s="36">
        <f>D58-D59</f>
        <v>0.010000000009313226</v>
      </c>
    </row>
    <row r="61"/>
    <row r="62" ht="44" customHeight="1">
      <c r="A62" s="3" t="n"/>
    </row>
  </sheetData>
  <mergeCells count="2">
    <mergeCell ref="A2:E2"/>
    <mergeCell ref="A62:E6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2026-09-29T01:26:18Z</dcterms:created>
  <dcterms:modified xsi:type="dcterms:W3CDTF">2026-09-29T01:26:18Z</dcterms:modified>
</cp:coreProperties>
</file>