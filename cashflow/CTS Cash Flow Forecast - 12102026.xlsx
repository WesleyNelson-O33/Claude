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 name="Complete AV" sheetId="6" state="visible" r:id="rId6"/>
  </sheets>
  <definedNames>
    <definedName name="_xlnm._FilterDatabase" localSheetId="3" hidden="1">'Receivables'!$A$4:$K$56</definedName>
    <definedName name="_xlnm._FilterDatabase" localSheetId="4" hidden="1">'Payables'!$A$18:$J$60</definedName>
  </definedNames>
  <calcPr calcId="191029" fullCalcOnLoad="1" iterateDelta="0.0001"/>
</workbook>
</file>

<file path=xl/styles.xml><?xml version="1.0" encoding="utf-8"?>
<styleSheet xmlns="http://schemas.openxmlformats.org/spreadsheetml/2006/main">
  <numFmts count="8">
    <numFmt numFmtId="164" formatCode="\$#,##0;\(\$#,##0\);\-"/>
    <numFmt numFmtId="165" formatCode="0.0"/>
    <numFmt numFmtId="166" formatCode="ddd\ d\ mmm\ yy"/>
    <numFmt numFmtId="167" formatCode="\$#,##0.00;\(\$#,##0.00\);\-"/>
    <numFmt numFmtId="168" formatCode="0.0%"/>
    <numFmt numFmtId="169" formatCode="d\ mmm\ yy"/>
    <numFmt numFmtId="170" formatCode="_-* #,##0.00_-;\-* #,##0.00_-;_-* &quot;-&quot;??_-;_-@_-"/>
    <numFmt numFmtId="171" formatCode="_-[$$-C09]* #,##0.00_-;\-[$$-C09]* #,##0.00_-;_-[$$-C09]* &quot;-&quot;??_-;_-@_-"/>
  </numFmts>
  <fonts count="21">
    <font>
      <name val="Calibri"/>
      <family val="2"/>
      <color theme="1"/>
      <sz val="11"/>
      <scheme val="minor"/>
    </font>
    <font>
      <name val="Arial"/>
      <family val="2"/>
      <b val="1"/>
      <sz val="14"/>
    </font>
    <font>
      <name val="Arial"/>
      <family val="2"/>
      <i val="1"/>
      <color rgb="FF666666"/>
      <sz val="9"/>
    </font>
    <font>
      <name val="Arial"/>
      <family val="2"/>
      <b val="1"/>
      <color rgb="FFFFFFFF"/>
      <sz val="10"/>
    </font>
    <font>
      <name val="Arial"/>
      <family val="2"/>
      <sz val="10"/>
    </font>
    <font>
      <name val="Arial"/>
      <family val="2"/>
      <color rgb="FF0000FF"/>
      <sz val="10"/>
    </font>
    <font>
      <name val="Arial"/>
      <family val="2"/>
      <b val="1"/>
      <sz val="10"/>
    </font>
    <font>
      <name val="Arial"/>
      <family val="2"/>
      <color rgb="FF008000"/>
      <sz val="10"/>
    </font>
    <font>
      <name val="Arial"/>
      <family val="2"/>
      <b val="1"/>
      <sz val="11"/>
    </font>
    <font>
      <name val="Arial"/>
      <family val="2"/>
      <b val="1"/>
      <color rgb="FF008000"/>
      <sz val="10"/>
    </font>
    <font>
      <name val="Arial"/>
      <family val="2"/>
      <color rgb="FFFFFFFF"/>
      <sz val="10"/>
    </font>
    <font>
      <name val="Arial"/>
      <family val="2"/>
      <color rgb="FF666666"/>
      <sz val="9"/>
    </font>
    <font>
      <name val="Calibri"/>
      <family val="2"/>
      <sz val="11"/>
      <scheme val="minor"/>
    </font>
    <font>
      <name val="Calibri"/>
      <family val="2"/>
      <color theme="1"/>
      <sz val="11"/>
      <scheme val="minor"/>
    </font>
    <font>
      <name val="Calibri"/>
      <family val="2"/>
      <b val="1"/>
      <color theme="1"/>
      <sz val="11"/>
      <scheme val="minor"/>
    </font>
    <font>
      <name val="Calibri"/>
      <family val="2"/>
      <color theme="0"/>
      <sz val="11"/>
      <scheme val="minor"/>
    </font>
    <font>
      <name val="Arial"/>
      <i val="1"/>
      <color rgb="FF666666"/>
      <sz val="9"/>
    </font>
    <font>
      <name val="Arial"/>
      <b val="1"/>
      <color rgb="FFFFFFFF"/>
      <sz val="10"/>
    </font>
    <font>
      <name val="Arial"/>
      <sz val="10"/>
    </font>
    <font>
      <name val="Arial"/>
      <b val="1"/>
      <sz val="10"/>
    </font>
    <font>
      <name val="Arial"/>
      <family val="2"/>
      <b val="1"/>
      <color theme="0"/>
      <sz val="10"/>
    </font>
  </fonts>
  <fills count="16">
    <fill>
      <patternFill/>
    </fill>
    <fill>
      <patternFill patternType="gray125"/>
    </fill>
    <fill>
      <patternFill patternType="solid">
        <fgColor rgb="FF002060"/>
      </patternFill>
    </fill>
    <fill>
      <patternFill patternType="solid">
        <fgColor rgb="FFFFFF00"/>
      </patternFill>
    </fill>
    <fill>
      <patternFill patternType="solid">
        <fgColor rgb="FFF2F2F2"/>
      </patternFill>
    </fill>
    <fill>
      <patternFill patternType="solid">
        <fgColor rgb="FFD9D9D9"/>
      </patternFill>
    </fill>
    <fill>
      <patternFill patternType="solid">
        <fgColor rgb="FFC6EFCE"/>
      </patternFill>
    </fill>
    <fill>
      <patternFill patternType="solid">
        <fgColor rgb="FFFFEB9C"/>
      </patternFill>
    </fill>
    <fill>
      <patternFill patternType="solid">
        <fgColor rgb="FFFFF2CC"/>
      </patternFill>
    </fill>
    <fill>
      <patternFill patternType="solid">
        <fgColor rgb="FFBFBFBF"/>
      </patternFill>
    </fill>
    <fill>
      <patternFill patternType="solid">
        <fgColor theme="6" tint="0.7999816888943144"/>
        <bgColor indexed="64"/>
      </patternFill>
    </fill>
    <fill>
      <patternFill patternType="solid">
        <fgColor theme="0"/>
        <bgColor indexed="64"/>
      </patternFill>
    </fill>
    <fill>
      <patternFill patternType="solid">
        <fgColor theme="0" tint="-0.499984740745262"/>
        <bgColor indexed="64"/>
      </patternFill>
    </fill>
    <fill>
      <patternFill patternType="solid">
        <fgColor theme="2" tint="-0.09997863704336681"/>
        <bgColor indexed="64"/>
      </patternFill>
    </fill>
    <fill>
      <patternFill patternType="solid">
        <fgColor rgb="FFFFFF00"/>
        <bgColor indexed="64"/>
      </patternFill>
    </fill>
    <fill>
      <patternFill patternType="solid">
        <fgColor rgb="FFEDEDED"/>
      </patternFill>
    </fill>
  </fills>
  <borders count="3">
    <border>
      <left/>
      <right/>
      <top/>
      <bottom/>
      <diagonal/>
    </border>
    <border>
      <left/>
      <right/>
      <top style="thin">
        <color rgb="FF7F7F7F"/>
      </top>
      <bottom/>
      <diagonal/>
    </border>
    <border>
      <left/>
      <right/>
      <top style="thin">
        <color rgb="FF7F7F7F"/>
      </top>
      <bottom style="double">
        <color rgb="FF7F7F7F"/>
      </bottom>
      <diagonal/>
    </border>
  </borders>
  <cellStyleXfs count="2">
    <xf numFmtId="0" fontId="13" fillId="0" borderId="0"/>
    <xf numFmtId="43" fontId="13" fillId="0" borderId="0"/>
  </cellStyleXfs>
  <cellXfs count="184">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10"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8" borderId="0" applyAlignment="1" pivotButton="0" quotePrefix="0" xfId="0">
      <alignment horizontal="center" vertical="center"/>
    </xf>
    <xf numFmtId="0" fontId="0" fillId="4" borderId="0" pivotButton="0" quotePrefix="0" xfId="0"/>
    <xf numFmtId="0" fontId="6" fillId="5" borderId="0" pivotButton="0" quotePrefix="0" xfId="0"/>
    <xf numFmtId="164" fontId="9" fillId="5" borderId="0" pivotButton="0" quotePrefix="0" xfId="0"/>
    <xf numFmtId="164" fontId="6" fillId="5" borderId="0" pivotButton="0" quotePrefix="0" xfId="0"/>
    <xf numFmtId="0" fontId="0" fillId="5" borderId="0" pivotButton="0" quotePrefix="0" xfId="0"/>
    <xf numFmtId="0" fontId="0" fillId="2" borderId="0" pivotButton="0" quotePrefix="0" xfId="0"/>
    <xf numFmtId="0" fontId="4" fillId="0" borderId="0" pivotButton="0" quotePrefix="0" xfId="0"/>
    <xf numFmtId="164" fontId="4" fillId="0" borderId="0" pivotButton="0" quotePrefix="0" xfId="0"/>
    <xf numFmtId="164" fontId="5" fillId="8" borderId="0" pivotButton="0" quotePrefix="0" xfId="0"/>
    <xf numFmtId="164" fontId="6" fillId="5" borderId="1" pivotButton="0" quotePrefix="0" xfId="0"/>
    <xf numFmtId="0" fontId="6" fillId="0" borderId="0" pivotButton="0" quotePrefix="0" xfId="0"/>
    <xf numFmtId="164" fontId="6" fillId="4" borderId="1" pivotButton="0" quotePrefix="0" xfId="0"/>
    <xf numFmtId="0" fontId="6" fillId="9" borderId="0" pivotButton="0" quotePrefix="0" xfId="0"/>
    <xf numFmtId="164" fontId="6" fillId="9" borderId="2" pivotButton="0" quotePrefix="0" xfId="0"/>
    <xf numFmtId="0" fontId="0" fillId="9" borderId="0" pivotButton="0" quotePrefix="0" xfId="0"/>
    <xf numFmtId="164" fontId="6" fillId="4" borderId="0" pivotButton="0" quotePrefix="0" xfId="0"/>
    <xf numFmtId="165" fontId="4" fillId="0" borderId="0" pivotButton="0" quotePrefix="0" xfId="0"/>
    <xf numFmtId="0" fontId="2" fillId="0" borderId="0" pivotButton="0" quotePrefix="0" xfId="0"/>
    <xf numFmtId="0" fontId="4" fillId="0" borderId="0" applyAlignment="1" pivotButton="0" quotePrefix="0" xfId="0">
      <alignment vertical="top" wrapText="1"/>
    </xf>
    <xf numFmtId="166" fontId="5" fillId="0" borderId="0" pivotButton="0" quotePrefix="0" xfId="0"/>
    <xf numFmtId="167" fontId="4" fillId="0" borderId="0" pivotButton="0" quotePrefix="0" xfId="0"/>
    <xf numFmtId="0" fontId="5" fillId="0"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0" fontId="5" fillId="3" borderId="0" pivotButton="0" quotePrefix="0" xfId="0"/>
    <xf numFmtId="166" fontId="4" fillId="0" borderId="0" pivotButton="0" quotePrefix="0" xfId="0"/>
    <xf numFmtId="0" fontId="3" fillId="2" borderId="0" applyAlignment="1" pivotButton="0" quotePrefix="0" xfId="0">
      <alignment vertical="top" wrapText="1"/>
    </xf>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 fontId="4" fillId="0" borderId="0" pivotButton="0" quotePrefix="0" xfId="0"/>
    <xf numFmtId="169" fontId="5" fillId="3" borderId="0" pivotButton="0" quotePrefix="0" xfId="0"/>
    <xf numFmtId="167" fontId="6" fillId="5" borderId="0" pivotButton="0" quotePrefix="0" xfId="0"/>
    <xf numFmtId="0" fontId="7" fillId="6" borderId="0" pivotButton="0" quotePrefix="0" xfId="0"/>
    <xf numFmtId="0" fontId="7" fillId="6" borderId="0" applyAlignment="1" pivotButton="0" quotePrefix="0" xfId="0">
      <alignment vertical="top" wrapText="1"/>
    </xf>
    <xf numFmtId="169" fontId="7" fillId="6" borderId="0" pivotButton="0" quotePrefix="0" xfId="0"/>
    <xf numFmtId="167" fontId="7" fillId="6" borderId="0" pivotButton="0" quotePrefix="0" xfId="0"/>
    <xf numFmtId="0" fontId="6" fillId="6" borderId="0" pivotButton="0" quotePrefix="0" xfId="0"/>
    <xf numFmtId="166" fontId="9" fillId="6" borderId="0" pivotButton="0" quotePrefix="0" xfId="0"/>
    <xf numFmtId="0" fontId="0" fillId="6" borderId="0" pivotButton="0" quotePrefix="0" xfId="0"/>
    <xf numFmtId="0" fontId="2"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169" fontId="7" fillId="0" borderId="0" pivotButton="0" quotePrefix="0" xfId="0"/>
    <xf numFmtId="167" fontId="7" fillId="0" borderId="0" pivotButton="0" quotePrefix="0" xfId="0"/>
    <xf numFmtId="166" fontId="9" fillId="0" borderId="0" pivotButton="0" quotePrefix="0" xfId="0"/>
    <xf numFmtId="0" fontId="7" fillId="7" borderId="0" pivotButton="0" quotePrefix="0" xfId="0"/>
    <xf numFmtId="0" fontId="7" fillId="7" borderId="0" applyAlignment="1" pivotButton="0" quotePrefix="0" xfId="0">
      <alignment vertical="top" wrapText="1"/>
    </xf>
    <xf numFmtId="169" fontId="7" fillId="7" borderId="0" pivotButton="0" quotePrefix="0" xfId="0"/>
    <xf numFmtId="167" fontId="7" fillId="7" borderId="0" pivotButton="0" quotePrefix="0" xfId="0"/>
    <xf numFmtId="0" fontId="6" fillId="7" borderId="0" pivotButton="0" quotePrefix="0" xfId="0"/>
    <xf numFmtId="166" fontId="9" fillId="7" borderId="0" pivotButton="0" quotePrefix="0" xfId="0"/>
    <xf numFmtId="0" fontId="0" fillId="7" borderId="0" pivotButton="0" quotePrefix="0" xfId="0"/>
    <xf numFmtId="0" fontId="2" fillId="7" borderId="0" applyAlignment="1" pivotButton="0" quotePrefix="0" xfId="0">
      <alignment vertical="top" wrapText="1"/>
    </xf>
    <xf numFmtId="169" fontId="7" fillId="3"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11" fillId="0" borderId="0" applyAlignment="1" pivotButton="0" quotePrefix="0" xfId="0">
      <alignment vertical="top" wrapText="1"/>
    </xf>
    <xf numFmtId="0" fontId="11" fillId="4" borderId="0" applyAlignment="1" pivotButton="0" quotePrefix="0" xfId="0">
      <alignment vertical="top" wrapText="1"/>
    </xf>
    <xf numFmtId="0" fontId="11" fillId="5" borderId="0" applyAlignment="1" pivotButton="0" quotePrefix="0" xfId="0">
      <alignment vertical="top" wrapText="1"/>
    </xf>
    <xf numFmtId="0" fontId="11" fillId="9" borderId="0" applyAlignment="1" pivotButton="0" quotePrefix="0" xfId="0">
      <alignment vertical="top" wrapText="1"/>
    </xf>
    <xf numFmtId="0" fontId="11" fillId="4" borderId="0" pivotButton="0" quotePrefix="0" xfId="0"/>
    <xf numFmtId="0" fontId="11" fillId="0" borderId="0" pivotButton="0" quotePrefix="0" xfId="0"/>
    <xf numFmtId="0" fontId="12" fillId="0" borderId="0" pivotButton="0" quotePrefix="0" xfId="0"/>
    <xf numFmtId="0" fontId="17" fillId="2" borderId="0" pivotButton="0" quotePrefix="0" xfId="0"/>
    <xf numFmtId="170" fontId="0" fillId="0" borderId="0" pivotButton="0" quotePrefix="0" xfId="1"/>
    <xf numFmtId="0" fontId="0" fillId="0" borderId="0" applyAlignment="1" pivotButton="0" quotePrefix="0" xfId="0">
      <alignment wrapText="1"/>
    </xf>
    <xf numFmtId="170" fontId="0" fillId="11" borderId="0" pivotButton="0" quotePrefix="0" xfId="1"/>
    <xf numFmtId="170" fontId="14" fillId="10" borderId="0" pivotButton="0" quotePrefix="0" xfId="1"/>
    <xf numFmtId="0" fontId="18" fillId="0" borderId="0" pivotButton="0" quotePrefix="0" xfId="0"/>
    <xf numFmtId="167" fontId="18" fillId="0" borderId="0" pivotButton="0" quotePrefix="0" xfId="0"/>
    <xf numFmtId="0" fontId="19" fillId="6" borderId="0" pivotButton="0" quotePrefix="0" xfId="0"/>
    <xf numFmtId="167" fontId="19" fillId="6" borderId="0" pivotButton="0" quotePrefix="0" xfId="0"/>
    <xf numFmtId="0" fontId="19" fillId="11" borderId="0" pivotButton="0" quotePrefix="0" xfId="0"/>
    <xf numFmtId="0" fontId="0" fillId="11" borderId="0" pivotButton="0" quotePrefix="0" xfId="0"/>
    <xf numFmtId="167" fontId="19" fillId="11" borderId="0" pivotButton="0" quotePrefix="0" xfId="0"/>
    <xf numFmtId="0" fontId="15" fillId="12" borderId="0" pivotButton="0" quotePrefix="0" xfId="0"/>
    <xf numFmtId="171" fontId="18" fillId="0" borderId="0" pivotButton="0" quotePrefix="0" xfId="0"/>
    <xf numFmtId="167" fontId="20" fillId="12" borderId="0" pivotButton="0" quotePrefix="0" xfId="0"/>
    <xf numFmtId="170" fontId="14" fillId="11" borderId="0" pivotButton="0" quotePrefix="0" xfId="1"/>
    <xf numFmtId="0" fontId="4" fillId="13" borderId="0" pivotButton="0" quotePrefix="0" xfId="0"/>
    <xf numFmtId="169" fontId="5" fillId="13" borderId="0" pivotButton="0" quotePrefix="0" xfId="0"/>
    <xf numFmtId="167" fontId="5" fillId="13" borderId="0" pivotButton="0" quotePrefix="0" xfId="0"/>
    <xf numFmtId="0" fontId="5" fillId="13" borderId="0" pivotButton="0" quotePrefix="0" xfId="0"/>
    <xf numFmtId="1" fontId="4" fillId="13" borderId="0" pivotButton="0" quotePrefix="0" xfId="0"/>
    <xf numFmtId="0" fontId="2" fillId="13" borderId="0" applyAlignment="1" pivotButton="0" quotePrefix="0" xfId="0">
      <alignment vertical="top" wrapText="1"/>
    </xf>
    <xf numFmtId="164" fontId="18" fillId="0" borderId="0" pivotButton="0" quotePrefix="0" xfId="0"/>
    <xf numFmtId="167" fontId="4" fillId="14" borderId="0" pivotButton="0" quotePrefix="0" xfId="0"/>
    <xf numFmtId="170" fontId="0" fillId="0" borderId="0" pivotButton="0" quotePrefix="0" xfId="0"/>
    <xf numFmtId="170" fontId="12" fillId="0" borderId="0" pivotButton="0" quotePrefix="0" xfId="1"/>
    <xf numFmtId="0" fontId="11" fillId="0" borderId="0" applyAlignment="1" pivotButton="0" quotePrefix="0" xfId="0">
      <alignment vertical="top" wrapText="1"/>
    </xf>
    <xf numFmtId="0" fontId="0" fillId="0" borderId="0" pivotButton="0" quotePrefix="0" xfId="0"/>
    <xf numFmtId="0" fontId="4" fillId="0" borderId="0" applyAlignment="1" pivotButton="0" quotePrefix="0" xfId="0">
      <alignment vertical="top" wrapText="1"/>
    </xf>
    <xf numFmtId="0" fontId="10" fillId="2" borderId="0" applyAlignment="1" pivotButton="0" quotePrefix="0" xfId="0">
      <alignment horizontal="center" vertical="center"/>
    </xf>
    <xf numFmtId="0" fontId="3" fillId="2" borderId="0" applyAlignment="1" pivotButton="0" quotePrefix="0" xfId="0">
      <alignment horizontal="center" vertical="center"/>
    </xf>
    <xf numFmtId="0" fontId="3" fillId="2" borderId="0" applyAlignment="1" pivotButton="0" quotePrefix="0" xfId="0">
      <alignment vertical="top" wrapText="1"/>
    </xf>
    <xf numFmtId="0" fontId="0" fillId="2" borderId="0" pivotButton="0" quotePrefix="0" xfId="0"/>
    <xf numFmtId="0" fontId="2" fillId="0" borderId="0" applyAlignment="1" pivotButton="0" quotePrefix="0" xfId="0">
      <alignment vertical="top" wrapText="1"/>
    </xf>
    <xf numFmtId="0" fontId="16" fillId="0" borderId="0" applyAlignment="1" pivotButton="0" quotePrefix="0" xfId="0">
      <alignment vertical="top" wrapText="1"/>
    </xf>
    <xf numFmtId="0" fontId="4" fillId="0" borderId="0" applyAlignment="1" pivotButton="0" quotePrefix="0" xfId="0">
      <alignment horizontal="left" indent="1"/>
    </xf>
    <xf numFmtId="164" fontId="9" fillId="5" borderId="0" pivotButton="0" quotePrefix="0" xfId="0"/>
    <xf numFmtId="164" fontId="6" fillId="5" borderId="0" pivotButton="0" quotePrefix="0" xfId="0"/>
    <xf numFmtId="164" fontId="4" fillId="0" borderId="0" pivotButton="0" quotePrefix="0" xfId="0"/>
    <xf numFmtId="164" fontId="5" fillId="8" borderId="0" pivotButton="0" quotePrefix="0" xfId="0"/>
    <xf numFmtId="164" fontId="6" fillId="5" borderId="1" pivotButton="0" quotePrefix="0" xfId="0"/>
    <xf numFmtId="164" fontId="6" fillId="4" borderId="1" pivotButton="0" quotePrefix="0" xfId="0"/>
    <xf numFmtId="164" fontId="18" fillId="0" borderId="0" pivotButton="0" quotePrefix="0" xfId="0"/>
    <xf numFmtId="164" fontId="6" fillId="9" borderId="2" pivotButton="0" quotePrefix="0" xfId="0"/>
    <xf numFmtId="164" fontId="6" fillId="4" borderId="0" pivotButton="0" quotePrefix="0" xfId="0"/>
    <xf numFmtId="165" fontId="4" fillId="0" borderId="0" pivotButton="0" quotePrefix="0" xfId="0"/>
    <xf numFmtId="166" fontId="5" fillId="0" borderId="0" pivotButton="0" quotePrefix="0" xfId="0"/>
    <xf numFmtId="167" fontId="4" fillId="14"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166" fontId="4" fillId="0" borderId="0" pivotButton="0" quotePrefix="0" xfId="0"/>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69" fontId="5" fillId="13" borderId="0" pivotButton="0" quotePrefix="0" xfId="0"/>
    <xf numFmtId="167" fontId="5" fillId="13" borderId="0" pivotButton="0" quotePrefix="0" xfId="0"/>
    <xf numFmtId="169" fontId="5" fillId="3" borderId="0" pivotButton="0" quotePrefix="0" xfId="0"/>
    <xf numFmtId="167" fontId="6" fillId="5" borderId="0" pivotButton="0" quotePrefix="0" xfId="0"/>
    <xf numFmtId="167" fontId="4" fillId="0" borderId="0" pivotButton="0" quotePrefix="0" xfId="0"/>
    <xf numFmtId="169" fontId="7" fillId="6" borderId="0" pivotButton="0" quotePrefix="0" xfId="0"/>
    <xf numFmtId="167" fontId="7" fillId="6" borderId="0" pivotButton="0" quotePrefix="0" xfId="0"/>
    <xf numFmtId="166" fontId="9" fillId="6" borderId="0" pivotButton="0" quotePrefix="0" xfId="0"/>
    <xf numFmtId="169" fontId="7" fillId="0" borderId="0" pivotButton="0" quotePrefix="0" xfId="0"/>
    <xf numFmtId="167" fontId="7" fillId="0" borderId="0" pivotButton="0" quotePrefix="0" xfId="0"/>
    <xf numFmtId="166" fontId="9" fillId="0" borderId="0" pivotButton="0" quotePrefix="0" xfId="0"/>
    <xf numFmtId="169" fontId="7" fillId="7" borderId="0" pivotButton="0" quotePrefix="0" xfId="0"/>
    <xf numFmtId="167" fontId="7" fillId="7" borderId="0" pivotButton="0" quotePrefix="0" xfId="0"/>
    <xf numFmtId="166" fontId="9" fillId="7" borderId="0" pivotButton="0" quotePrefix="0" xfId="0"/>
    <xf numFmtId="169" fontId="7" fillId="3" borderId="0" pivotButton="0" quotePrefix="0" xfId="0"/>
    <xf numFmtId="170" fontId="0" fillId="0" borderId="0" pivotButton="0" quotePrefix="0" xfId="1"/>
    <xf numFmtId="170" fontId="12" fillId="0" borderId="0" pivotButton="0" quotePrefix="0" xfId="1"/>
    <xf numFmtId="170" fontId="14" fillId="10" borderId="0" pivotButton="0" quotePrefix="0" xfId="1"/>
    <xf numFmtId="170" fontId="0" fillId="0" borderId="0" pivotButton="0" quotePrefix="0" xfId="0"/>
    <xf numFmtId="170" fontId="0" fillId="11" borderId="0" pivotButton="0" quotePrefix="0" xfId="1"/>
    <xf numFmtId="170" fontId="14" fillId="11" borderId="0" pivotButton="0" quotePrefix="0" xfId="1"/>
    <xf numFmtId="167" fontId="18" fillId="0" borderId="0" pivotButton="0" quotePrefix="0" xfId="0"/>
    <xf numFmtId="171" fontId="18" fillId="0" borderId="0" pivotButton="0" quotePrefix="0" xfId="0"/>
    <xf numFmtId="167" fontId="19" fillId="6" borderId="0" pivotButton="0" quotePrefix="0" xfId="0"/>
    <xf numFmtId="167" fontId="19" fillId="11" borderId="0" pivotButton="0" quotePrefix="0" xfId="0"/>
    <xf numFmtId="167" fontId="20" fillId="12"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4" fillId="15" borderId="0" pivotButton="0" quotePrefix="0" xfId="0"/>
    <xf numFmtId="169" fontId="5" fillId="15" borderId="0" pivotButton="0" quotePrefix="0" xfId="0"/>
    <xf numFmtId="167" fontId="5" fillId="15" borderId="0" pivotButton="0" quotePrefix="0" xfId="0"/>
    <xf numFmtId="0" fontId="5" fillId="15" borderId="0" pivotButton="0" quotePrefix="0" xfId="0"/>
    <xf numFmtId="1" fontId="4" fillId="15" borderId="0" pivotButton="0" quotePrefix="0" xfId="0"/>
    <xf numFmtId="0" fontId="2" fillId="15" borderId="0" applyAlignment="1" pivotButton="0" quotePrefix="0" xfId="0">
      <alignment vertical="top" wrapText="1"/>
    </xf>
    <xf numFmtId="0" fontId="7" fillId="15" borderId="0" pivotButton="0" quotePrefix="0" xfId="0"/>
    <xf numFmtId="0" fontId="7" fillId="15" borderId="0" applyAlignment="1" pivotButton="0" quotePrefix="0" xfId="0">
      <alignment vertical="top" wrapText="1"/>
    </xf>
    <xf numFmtId="169" fontId="7" fillId="15" borderId="0" pivotButton="0" quotePrefix="0" xfId="0"/>
    <xf numFmtId="167" fontId="7" fillId="15" borderId="0" pivotButton="0" quotePrefix="0" xfId="0"/>
    <xf numFmtId="0" fontId="6" fillId="15" borderId="0" pivotButton="0" quotePrefix="0" xfId="0"/>
    <xf numFmtId="166" fontId="9" fillId="15" borderId="0" pivotButton="0" quotePrefix="0" xfId="0"/>
    <xf numFmtId="0" fontId="0" fillId="15" borderId="0" pivotButton="0" quotePrefix="0" xfId="0"/>
    <xf numFmtId="0" fontId="4" fillId="15" borderId="0" applyAlignment="1" pivotButton="0" quotePrefix="0" xfId="0">
      <alignment vertical="top" wrapText="1"/>
    </xf>
  </cellXfs>
  <cellStyles count="2">
    <cellStyle name="Normal" xfId="0" builtinId="0"/>
    <cellStyle name="Comma" xfId="1" builtinId="3"/>
  </cellStyles>
  <dxfs count="1">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2"/>
  <sheetViews>
    <sheetView showGridLines="0" tabSelected="1" zoomScale="85" zoomScaleNormal="85" workbookViewId="0">
      <pane xSplit="1" ySplit="8" topLeftCell="B9" activePane="bottomRight" state="frozen"/>
      <selection pane="topRight" activeCell="A1" sqref="A1"/>
      <selection pane="bottomLeft" activeCell="A1" sqref="A1"/>
      <selection pane="bottomRight" activeCell="O20" sqref="O20"/>
    </sheetView>
  </sheetViews>
  <sheetFormatPr baseColWidth="8" defaultRowHeight="15"/>
  <cols>
    <col width="46" customWidth="1" style="109" min="1" max="1"/>
    <col width="13" customWidth="1" style="109" min="2" max="14"/>
    <col width="64" customWidth="1" style="109" min="15" max="15"/>
  </cols>
  <sheetData>
    <row r="1" ht="18" customHeight="1" s="109">
      <c r="A1" s="1" t="inlineStr">
        <is>
          <t>Corporate Technology Services Pty Ltd</t>
        </is>
      </c>
    </row>
    <row r="2">
      <c r="A2" s="2" t="inlineStr">
        <is>
          <t>Weekly Cash Flow Forecast vs Actual - 28 September to 1 November 2026</t>
        </is>
      </c>
    </row>
    <row r="3" ht="42" customHeight="1" s="109">
      <c r="A3" s="108"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t>
        </is>
      </c>
    </row>
    <row r="5">
      <c r="A5" s="4" t="n"/>
      <c r="B5" s="112" t="inlineStr">
        <is>
          <t>Week 1</t>
        </is>
      </c>
      <c r="D5" s="112" t="inlineStr">
        <is>
          <t>Week 2</t>
        </is>
      </c>
      <c r="F5" s="112" t="inlineStr">
        <is>
          <t>Week 3</t>
        </is>
      </c>
      <c r="H5" s="112" t="inlineStr">
        <is>
          <t>Week 4</t>
        </is>
      </c>
      <c r="J5" s="112" t="inlineStr">
        <is>
          <t>Week 5</t>
        </is>
      </c>
      <c r="L5" s="112" t="inlineStr">
        <is>
          <t>Total</t>
        </is>
      </c>
      <c r="N5" s="6" t="inlineStr">
        <is>
          <t>Variance</t>
        </is>
      </c>
      <c r="O5" s="7" t="inlineStr">
        <is>
          <t>Notes</t>
        </is>
      </c>
    </row>
    <row r="6">
      <c r="A6" s="4" t="n"/>
      <c r="B6" s="111" t="str">
        <f>TEXT(Assumptions!$B$44,"d mmm")&amp;" - "&amp;TEXT(Assumptions!$C$44,"d mmm")</f>
        <v>28 Sep - 7 Oct</v>
      </c>
      <c r="D6" s="111" t="str">
        <f>TEXT(Assumptions!$B$45,"d mmm")&amp;" - "&amp;TEXT(Assumptions!$C$45,"d mmm")</f>
        <v>8 Oct - 14 Oct</v>
      </c>
      <c r="F6" s="111" t="str">
        <f>TEXT(Assumptions!$B$46,"d mmm")&amp;" - "&amp;TEXT(Assumptions!$C$46,"d mmm")</f>
        <v>15 Oct - 21 Oct</v>
      </c>
      <c r="H6" s="111" t="str">
        <f>TEXT(Assumptions!$B$47,"d mmm")&amp;" - "&amp;TEXT(Assumptions!$C$47,"d mmm")</f>
        <v>22 Oct - 28 Oct</v>
      </c>
      <c r="J6" s="111" t="str">
        <f>TEXT(Assumptions!$B$48,"d mmm")&amp;" - "&amp;TEXT(Assumptions!$C$48,"d mmm")</f>
        <v>29 Oct - 4 Nov</v>
      </c>
      <c r="L6" s="4" t="n"/>
      <c r="M6" s="4" t="n"/>
      <c r="N6" s="111" t="inlineStr">
        <is>
          <t>(weeks with</t>
        </is>
      </c>
      <c r="O6" s="4" t="n"/>
    </row>
    <row r="7">
      <c r="A7" s="7" t="inlineStr">
        <is>
          <t>$ AUD (GST inclusive)</t>
        </is>
      </c>
      <c r="B7" s="112" t="inlineStr">
        <is>
          <t>Forecast</t>
        </is>
      </c>
      <c r="C7" s="112" t="inlineStr">
        <is>
          <t>Actual</t>
        </is>
      </c>
      <c r="D7" s="112" t="inlineStr">
        <is>
          <t>Forecast</t>
        </is>
      </c>
      <c r="E7" s="112" t="inlineStr">
        <is>
          <t>Actual</t>
        </is>
      </c>
      <c r="F7" s="112" t="inlineStr">
        <is>
          <t>Forecast</t>
        </is>
      </c>
      <c r="G7" s="112" t="inlineStr">
        <is>
          <t>Actual</t>
        </is>
      </c>
      <c r="H7" s="112" t="inlineStr">
        <is>
          <t>Forecast</t>
        </is>
      </c>
      <c r="I7" s="112" t="inlineStr">
        <is>
          <t>Actual</t>
        </is>
      </c>
      <c r="J7" s="112" t="inlineStr">
        <is>
          <t>Forecast</t>
        </is>
      </c>
      <c r="K7" s="112" t="inlineStr">
        <is>
          <t>Actual</t>
        </is>
      </c>
      <c r="L7" s="112" t="inlineStr">
        <is>
          <t>Forecast</t>
        </is>
      </c>
      <c r="M7" s="112" t="inlineStr">
        <is>
          <t>Actual</t>
        </is>
      </c>
      <c r="N7" s="111" t="inlineStr">
        <is>
          <t>actuals)</t>
        </is>
      </c>
      <c r="O7" s="4" t="n"/>
    </row>
    <row r="8">
      <c r="A8" s="9" t="inlineStr">
        <is>
          <t>Actuals entered for this week? (1 = yes)</t>
        </is>
      </c>
      <c r="B8" s="10" t="n"/>
      <c r="C8" s="11" t="n">
        <v>1</v>
      </c>
      <c r="D8" s="10" t="n"/>
      <c r="E8" s="11" t="n">
        <v>0</v>
      </c>
      <c r="F8" s="10" t="n"/>
      <c r="G8" s="11" t="n">
        <v>0</v>
      </c>
      <c r="H8" s="10" t="n"/>
      <c r="I8" s="11" t="n">
        <v>0</v>
      </c>
      <c r="J8" s="10" t="n"/>
      <c r="K8" s="11" t="n">
        <v>0</v>
      </c>
      <c r="L8" s="12" t="n"/>
      <c r="M8" s="12" t="n"/>
      <c r="N8" s="12" t="n"/>
      <c r="O8" s="76" t="inlineStr">
        <is>
          <t>Week 1 is done and ties to CommBiz. Week 2 actuals are in to Mon 12 Oct only - flag stays 0 until the week closes Wed 14 Oct and the bank balance is keyed.</t>
        </is>
      </c>
    </row>
    <row r="10">
      <c r="A10" s="13" t="inlineStr">
        <is>
          <t>OPENING BANK BALANCE</t>
        </is>
      </c>
      <c r="B10" s="118">
        <f>Assumptions!$B$6</f>
        <v>435155</v>
      </c>
      <c r="C10" s="119">
        <f>B10</f>
        <v>435155</v>
      </c>
      <c r="D10" s="119">
        <f>IF(C$8=1,C59,B58)</f>
        <v>358696.23</v>
      </c>
      <c r="E10" s="119">
        <f>D10</f>
        <v>358696.23</v>
      </c>
      <c r="F10" s="119">
        <f>IF(E$8=1,E59,D58)</f>
        <v>261282.50999999998</v>
      </c>
      <c r="G10" s="119">
        <f>F10</f>
        <v>261282.50999999998</v>
      </c>
      <c r="H10" s="119">
        <f>IF(G$8=1,G59,F58)</f>
        <v>495886.79666666663</v>
      </c>
      <c r="I10" s="119">
        <f>H10</f>
        <v>495886.79666666663</v>
      </c>
      <c r="J10" s="119">
        <f>IF(I$8=1,I59,H58)</f>
        <v>230920.72933333332</v>
      </c>
      <c r="K10" s="119">
        <f>J10</f>
        <v>230920.72933333332</v>
      </c>
      <c r="L10" s="119">
        <f>B10</f>
        <v>435155</v>
      </c>
      <c r="M10" s="119">
        <f>C10</f>
        <v>435155</v>
      </c>
      <c r="N10" s="16" t="n"/>
      <c r="O10" s="77" t="n"/>
    </row>
    <row r="12">
      <c r="A12" s="7" t="inlineStr">
        <is>
          <t>INCOME</t>
        </is>
      </c>
      <c r="B12" s="114" t="n"/>
      <c r="C12" s="114" t="n"/>
      <c r="D12" s="114" t="n"/>
      <c r="E12" s="114" t="n"/>
      <c r="F12" s="114" t="n"/>
      <c r="G12" s="114" t="n"/>
      <c r="H12" s="114" t="n"/>
      <c r="I12" s="114" t="n"/>
      <c r="J12" s="114" t="n"/>
      <c r="K12" s="114" t="n"/>
      <c r="L12" s="114" t="n"/>
      <c r="M12" s="114" t="n"/>
      <c r="N12" s="114" t="n"/>
      <c r="O12" s="114" t="n"/>
    </row>
    <row r="13">
      <c r="A13" s="18" t="inlineStr">
        <is>
          <t xml:space="preserve">   Trading income - customer receipts (invoices)</t>
        </is>
      </c>
      <c r="B13" s="120">
        <f>SUMIFS(Receivables!$F$5:$F$65,Receivables!$H$5:$H$65,"&gt;="&amp;Assumptions!$B$44,Receivables!$H$5:$H$65,"&lt;="&amp;Assumptions!$C$44)</f>
        <v>134590.91999999998</v>
      </c>
      <c r="C13" s="121">
        <f>41925.4+6172.39+58024.76+1975.51+1092.3+13046.62+4352.45+13156</f>
        <v>139745.43</v>
      </c>
      <c r="D13" s="120">
        <f>SUMIFS(Receivables!$F$5:$F$65,Receivables!$H$5:$H$65,"&gt;="&amp;Assumptions!$B$45,Receivables!$H$5:$H$65,"&lt;="&amp;Assumptions!$C$45)</f>
        <v>142696.27</v>
      </c>
      <c r="E13" s="121">
        <f>112683.22+18891.66+9086.39+1661+506+374</f>
        <v>143202.27000000002</v>
      </c>
      <c r="F13" s="120">
        <f>SUMIFS(Receivables!$F$5:$F$65,Receivables!$H$5:$H$65,"&gt;="&amp;Assumptions!$B$46,Receivables!$H$5:$H$65,"&lt;="&amp;Assumptions!$C$46)+Assumptions!$B$39/3</f>
        <v>234604.28666666668</v>
      </c>
      <c r="G13" s="121" t="n"/>
      <c r="H13" s="120">
        <f>SUMIFS(Receivables!$F$5:$F$65,Receivables!$H$5:$H$65,"&gt;="&amp;Assumptions!$B$47,Receivables!$H$5:$H$65,"&lt;="&amp;Assumptions!$C$47)+Assumptions!$B$39/3</f>
        <v>12626.466666666667</v>
      </c>
      <c r="I13" s="121" t="n"/>
      <c r="J13" s="120">
        <f>SUMIFS(Receivables!$F$5:$F$65,Receivables!$H$5:$H$65,"&gt;="&amp;Assumptions!$B$48,Receivables!$H$5:$H$65,"&lt;="&amp;Assumptions!$C$48)+Assumptions!$B$39/3</f>
        <v>91870.13666666666</v>
      </c>
      <c r="K13" s="121" t="n"/>
      <c r="L13" s="120">
        <f>SUM(B13,D13,F13,H13,J13)</f>
        <v>616388.0799999998</v>
      </c>
      <c r="M13" s="120">
        <f>SUM(C13,E13,G13,I13,K13)</f>
        <v>282947.7</v>
      </c>
      <c r="N13" s="120">
        <f>(C13-B13)*C$8+(E13-D13)*E$8+(G13-F13)*G$8+(I13-H13)*I$8+(K13-J13)*K$8</f>
        <v>5154.510000000009</v>
      </c>
      <c r="O13" s="108" t="inlineStr">
        <is>
          <t>Week 2 to 12 Oct: Deloitte $112,683.22 and $18,891.66, CEO Institute $9,086.39, ASX $1,661, Dimensional $506, Ricoh $374 (Xero). Nothing from Aware yet.</t>
        </is>
      </c>
    </row>
    <row r="14">
      <c r="A14" s="18" t="inlineStr">
        <is>
          <t xml:space="preserve">   Other income - interest received</t>
        </is>
      </c>
      <c r="B14" s="120">
        <f>0</f>
        <v>0</v>
      </c>
      <c r="C14" s="121" t="n">
        <v>430.17</v>
      </c>
      <c r="D14" s="120">
        <f>0</f>
        <v>0</v>
      </c>
      <c r="E14" s="121" t="n">
        <v>0</v>
      </c>
      <c r="F14" s="120">
        <f>0</f>
        <v>0</v>
      </c>
      <c r="G14" s="121" t="n"/>
      <c r="H14" s="120">
        <f>0</f>
        <v>0</v>
      </c>
      <c r="I14" s="121" t="n"/>
      <c r="J14" s="120">
        <f>Assumptions!$B$40</f>
        <v>600</v>
      </c>
      <c r="K14" s="121" t="n"/>
      <c r="L14" s="120">
        <f>SUM(B14,D14,F14,H14,J14)</f>
        <v>600</v>
      </c>
      <c r="M14" s="120">
        <f>SUM(C14,E14,G14,I14,K14)</f>
        <v>430.17</v>
      </c>
      <c r="N14" s="120">
        <f>(C14-B14)*C$8+(E14-D14)*E$8+(G14-F14)*G$8+(I14-H14)*I$8+(K14-J14)*K$8</f>
        <v>430.17</v>
      </c>
      <c r="O14" s="108" t="inlineStr">
        <is>
          <t>Savings interest, month end.</t>
        </is>
      </c>
    </row>
    <row r="15">
      <c r="A15" s="13" t="inlineStr">
        <is>
          <t>TOTAL INCOME</t>
        </is>
      </c>
      <c r="B15" s="122">
        <f>B13+B14</f>
        <v>134590.91999999998</v>
      </c>
      <c r="C15" s="122">
        <f>C13+C14</f>
        <v>140175.6</v>
      </c>
      <c r="D15" s="122">
        <f>D13+D14</f>
        <v>142696.27</v>
      </c>
      <c r="E15" s="122">
        <f>E13+E14</f>
        <v>143202.27000000002</v>
      </c>
      <c r="F15" s="122">
        <f>F13+F14</f>
        <v>234604.28666666668</v>
      </c>
      <c r="G15" s="122">
        <f>G13+G14</f>
        <v>0</v>
      </c>
      <c r="H15" s="122">
        <f>H13+H14</f>
        <v>12626.466666666667</v>
      </c>
      <c r="I15" s="122">
        <f>I13+I14</f>
        <v>0</v>
      </c>
      <c r="J15" s="122">
        <f>J13+J14</f>
        <v>92470.13666666666</v>
      </c>
      <c r="K15" s="122">
        <f>K13+K14</f>
        <v>0</v>
      </c>
      <c r="L15" s="122">
        <f>L13+L14</f>
        <v>616988.0799999998</v>
      </c>
      <c r="M15" s="122">
        <f>M13+M14</f>
        <v>283377.87</v>
      </c>
      <c r="N15" s="122">
        <f>N13+N14</f>
        <v>5584.680000000009</v>
      </c>
      <c r="O15" s="16" t="n"/>
    </row>
    <row r="17">
      <c r="A17" s="7" t="inlineStr">
        <is>
          <t>OPERATING EXPENSES</t>
        </is>
      </c>
      <c r="B17" s="114" t="n"/>
      <c r="C17" s="114" t="n"/>
      <c r="D17" s="114" t="n"/>
      <c r="E17" s="114" t="n"/>
      <c r="F17" s="114" t="n"/>
      <c r="G17" s="114" t="n"/>
      <c r="H17" s="114" t="n"/>
      <c r="I17" s="114" t="n"/>
      <c r="J17" s="114" t="n"/>
      <c r="K17" s="114" t="n"/>
      <c r="L17" s="114" t="n"/>
      <c r="M17" s="114" t="n"/>
      <c r="N17" s="114" t="n"/>
      <c r="O17" s="114" t="n"/>
    </row>
    <row r="18">
      <c r="A18" s="22" t="inlineStr">
        <is>
          <t>Employment</t>
        </is>
      </c>
    </row>
    <row r="19" ht="24" customHeight="1" s="109">
      <c r="A19" s="18" t="inlineStr">
        <is>
          <t xml:space="preserve">   Salaries &amp; wages (net pay)</t>
        </is>
      </c>
      <c r="B19" s="120">
        <f>SUMIFS(Payroll!$E$5:$E$7,Payroll!$C$5:$C$7,"&gt;="&amp;Assumptions!$B$44,Payroll!$C$5:$C$7,"&lt;="&amp;Assumptions!$C$44)</f>
        <v>0</v>
      </c>
      <c r="C19" s="121" t="n"/>
      <c r="D19" s="120">
        <f>SUMIFS(Payroll!$E$5:$E$7,Payroll!$C$5:$C$7,"&gt;="&amp;Assumptions!$B$45,Payroll!$C$5:$C$7,"&lt;="&amp;Assumptions!$C$45)</f>
        <v>85248</v>
      </c>
      <c r="E19" s="121" t="n"/>
      <c r="F19" s="120">
        <f>SUMIFS(Payroll!$E$5:$E$7,Payroll!$C$5:$C$7,"&gt;="&amp;Assumptions!$B$46,Payroll!$C$5:$C$7,"&lt;="&amp;Assumptions!$C$46)</f>
        <v>0</v>
      </c>
      <c r="G19" s="121" t="n"/>
      <c r="H19" s="120">
        <f>SUMIFS(Payroll!$E$5:$E$7,Payroll!$C$5:$C$7,"&gt;="&amp;Assumptions!$B$47,Payroll!$C$5:$C$7,"&lt;="&amp;Assumptions!$C$47)</f>
        <v>85248</v>
      </c>
      <c r="I19" s="121" t="n"/>
      <c r="J19" s="120">
        <f>SUMIFS(Payroll!$E$5:$E$7,Payroll!$C$5:$C$7,"&gt;="&amp;Assumptions!$B$48,Payroll!$C$5:$C$7,"&lt;="&amp;Assumptions!$C$48)</f>
        <v>0</v>
      </c>
      <c r="K19" s="121" t="n"/>
      <c r="L19" s="120">
        <f>SUM(B19,D19,F19,H19,J19)</f>
        <v>170496</v>
      </c>
      <c r="M19" s="120">
        <f>SUM(C19,E19,G19,I19,K19)</f>
        <v>0</v>
      </c>
      <c r="N19" s="120">
        <f>(C19-B19)*C$8+(E19-D19)*E$8+(G19-F19)*G$8+(I19-H19)*I$8+(K19-J19)*K$8</f>
        <v>0</v>
      </c>
      <c r="O19" s="108" t="inlineStr">
        <is>
          <t>Payroll tab - gross x net %. Fortnight is Sat to Fri and the money goes out the Tuesday after: Tue 13 Oct (week 2) and Tue 27 Oct (week 4). The next one is Tue 10 Nov, after this forecast.</t>
        </is>
      </c>
    </row>
    <row r="20">
      <c r="A20" s="18" t="inlineStr">
        <is>
          <t xml:space="preserve">   Superannuation</t>
        </is>
      </c>
      <c r="B20" s="120">
        <f>SUMIFS(Payroll!$G$5:$G$7,Payroll!$C$5:$C$7,"&gt;="&amp;Assumptions!$B$44,Payroll!$C$5:$C$7,"&lt;="&amp;Assumptions!$C$44)</f>
        <v>0</v>
      </c>
      <c r="C20" s="121" t="n"/>
      <c r="D20" s="120">
        <f>SUMIFS(Payroll!$G$5:$G$7,Payroll!$C$5:$C$7,"&gt;="&amp;Assumptions!$B$45,Payroll!$C$5:$C$7,"&lt;="&amp;Assumptions!$C$45)</f>
        <v>13320</v>
      </c>
      <c r="E20" s="121" t="n"/>
      <c r="F20" s="120">
        <f>SUMIFS(Payroll!$G$5:$G$7,Payroll!$C$5:$C$7,"&gt;="&amp;Assumptions!$B$46,Payroll!$C$5:$C$7,"&lt;="&amp;Assumptions!$C$46)</f>
        <v>0</v>
      </c>
      <c r="G20" s="121" t="n"/>
      <c r="H20" s="120">
        <f>SUMIFS(Payroll!$G$5:$G$7,Payroll!$C$5:$C$7,"&gt;="&amp;Assumptions!$B$47,Payroll!$C$5:$C$7,"&lt;="&amp;Assumptions!$C$47)</f>
        <v>13320</v>
      </c>
      <c r="I20" s="121" t="n"/>
      <c r="J20" s="120">
        <f>SUMIFS(Payroll!$G$5:$G$7,Payroll!$C$5:$C$7,"&gt;="&amp;Assumptions!$B$48,Payroll!$C$5:$C$7,"&lt;="&amp;Assumptions!$C$48)</f>
        <v>0</v>
      </c>
      <c r="K20" s="121" t="n"/>
      <c r="L20" s="120">
        <f>SUM(B20,D20,F20,H20,J20)</f>
        <v>26640</v>
      </c>
      <c r="M20" s="120">
        <f>SUM(C20,E20,G20,I20,K20)</f>
        <v>0</v>
      </c>
      <c r="N20" s="120">
        <f>(C20-B20)*C$8+(E20-D20)*E$8+(G20-F20)*G$8+(I20-H20)*I$8+(K20-J20)*K$8</f>
        <v>0</v>
      </c>
      <c r="O20" s="108" t="inlineStr">
        <is>
          <t>Gross x 12%. EH direct debits it in the pay run week.</t>
        </is>
      </c>
    </row>
    <row r="21" ht="24" customHeight="1" s="109">
      <c r="A21" s="18" t="inlineStr">
        <is>
          <t xml:space="preserve">   PAYG withholding - monthly IAS</t>
        </is>
      </c>
      <c r="B21" s="120">
        <f>0</f>
        <v>0</v>
      </c>
      <c r="C21" s="121" t="n"/>
      <c r="D21" s="120">
        <f>0</f>
        <v>0</v>
      </c>
      <c r="E21" s="121" t="n">
        <v>0</v>
      </c>
      <c r="F21" s="120">
        <f>0</f>
        <v>0</v>
      </c>
      <c r="G21" s="121" t="n"/>
      <c r="H21" s="120">
        <f>0</f>
        <v>0</v>
      </c>
      <c r="I21" s="121" t="n"/>
      <c r="J21" s="120">
        <f>0</f>
        <v>0</v>
      </c>
      <c r="K21" s="121" t="n"/>
      <c r="L21" s="120">
        <f>SUM(B21,D21,F21,H21,J21)</f>
        <v>0</v>
      </c>
      <c r="M21" s="120">
        <f>SUM(C21,E21,G21,I21,K21)</f>
        <v>0</v>
      </c>
      <c r="N21" s="120">
        <f>(C21-B21)*C$8+(E21-D21)*E$8+(G21-F21)*G$8+(I21-H21)*I$8+(K21-J21)*K$8</f>
        <v>0</v>
      </c>
      <c r="O21" s="108" t="inlineStr">
        <is>
          <t>Nothing in Oct - Jul and Aug were paid 21 Aug and 21 Sep, Sep goes on the Q1 BAS (see the BAS line).</t>
        </is>
      </c>
    </row>
    <row r="22" ht="24" customHeight="1" s="109">
      <c r="A22" s="18" t="inlineStr">
        <is>
          <t xml:space="preserve">   Payroll tax (NSW + other states)</t>
        </is>
      </c>
      <c r="B22" s="120">
        <f>IF(AND(Assumptions!$B$19&gt;=Assumptions!$B$44,Assumptions!$B$19&lt;=Assumptions!$C$44),Assumptions!$B$17+Assumptions!$B$18,0)</f>
        <v>8995</v>
      </c>
      <c r="C22" s="121" t="n"/>
      <c r="D22" s="120">
        <f>IF(AND(Assumptions!$B$19&gt;=Assumptions!$B$45,Assumptions!$B$19&lt;=Assumptions!$C$45),Assumptions!$B$17+Assumptions!$B$18,0)</f>
        <v>0</v>
      </c>
      <c r="E22" s="121" t="n">
        <v>0</v>
      </c>
      <c r="F22" s="120">
        <f>IF(AND(Assumptions!$B$19&gt;=Assumptions!$B$46,Assumptions!$B$19&lt;=Assumptions!$C$46),Assumptions!$B$17+Assumptions!$B$18,0)</f>
        <v>0</v>
      </c>
      <c r="G22" s="121" t="n"/>
      <c r="H22" s="120">
        <f>IF(AND(Assumptions!$B$19&gt;=Assumptions!$B$47,Assumptions!$B$19&lt;=Assumptions!$C$47),Assumptions!$B$17+Assumptions!$B$18,0)</f>
        <v>0</v>
      </c>
      <c r="I22" s="121" t="n"/>
      <c r="J22" s="120">
        <f>IF(AND(Assumptions!$B$19&gt;=Assumptions!$B$48,Assumptions!$B$19&lt;=Assumptions!$C$48),Assumptions!$B$17+Assumptions!$B$18,0)</f>
        <v>0</v>
      </c>
      <c r="K22" s="121" t="n"/>
      <c r="L22" s="120">
        <f>SUM(B22,D22,F22,H22,J22)</f>
        <v>8995</v>
      </c>
      <c r="M22" s="120">
        <f>SUM(C22,E22,G22,I22,K22)</f>
        <v>0</v>
      </c>
      <c r="N22" s="120">
        <f>(C22-B22)*C$8+(E22-D22)*E$8+(G22-F22)*G$8+(I22-H22)*I$8+(K22-J22)*K$8</f>
        <v>-8995</v>
      </c>
      <c r="O22" s="108" t="inlineStr">
        <is>
          <t>Sep wages, due 7 Oct. Aug numbers used until the Sep return is lodged ($6,295 NSW + $2,700 other states).</t>
        </is>
      </c>
    </row>
    <row r="23">
      <c r="A23" s="18" t="inlineStr">
        <is>
          <t xml:space="preserve">   Employee reimbursements (expense claims)</t>
        </is>
      </c>
      <c r="B23" s="120">
        <f>SUMIFS(Payroll!$H$5:$H$7,Payroll!$C$5:$C$7,"&gt;="&amp;Assumptions!$B$44,Payroll!$C$5:$C$7,"&lt;="&amp;Assumptions!$C$44)</f>
        <v>0</v>
      </c>
      <c r="C23" s="121" t="n"/>
      <c r="D23" s="120">
        <f>SUMIFS(Payroll!$H$5:$H$7,Payroll!$C$5:$C$7,"&gt;="&amp;Assumptions!$B$45,Payroll!$C$5:$C$7,"&lt;="&amp;Assumptions!$C$45)</f>
        <v>1000</v>
      </c>
      <c r="E23" s="121" t="n"/>
      <c r="F23" s="120">
        <f>SUMIFS(Payroll!$H$5:$H$7,Payroll!$C$5:$C$7,"&gt;="&amp;Assumptions!$B$46,Payroll!$C$5:$C$7,"&lt;="&amp;Assumptions!$C$46)</f>
        <v>0</v>
      </c>
      <c r="G23" s="121" t="n"/>
      <c r="H23" s="120">
        <f>SUMIFS(Payroll!$H$5:$H$7,Payroll!$C$5:$C$7,"&gt;="&amp;Assumptions!$B$47,Payroll!$C$5:$C$7,"&lt;="&amp;Assumptions!$C$47)</f>
        <v>1000</v>
      </c>
      <c r="I23" s="121" t="n"/>
      <c r="J23" s="120">
        <f>SUMIFS(Payroll!$H$5:$H$7,Payroll!$C$5:$C$7,"&gt;="&amp;Assumptions!$B$48,Payroll!$C$5:$C$7,"&lt;="&amp;Assumptions!$C$48)</f>
        <v>0</v>
      </c>
      <c r="K23" s="121" t="n"/>
      <c r="L23" s="120">
        <f>SUM(B23,D23,F23,H23,J23)</f>
        <v>2000</v>
      </c>
      <c r="M23" s="120">
        <f>SUM(C23,E23,G23,I23,K23)</f>
        <v>0</v>
      </c>
      <c r="N23" s="120">
        <f>(C23-B23)*C$8+(E23-D23)*E$8+(G23-F23)*G$8+(I23-H23)*I$8+(K23-J23)*K$8</f>
        <v>0</v>
      </c>
      <c r="O23" s="108" t="inlineStr">
        <is>
          <t>Placeholder. Week 2 actual gets filled on pay day Tue 13 Oct.</t>
        </is>
      </c>
    </row>
    <row r="24">
      <c r="A24" s="9" t="inlineStr">
        <is>
          <t>Subtotal employment</t>
        </is>
      </c>
      <c r="B24" s="123">
        <f>B19+B20+B21+B22+B23</f>
        <v>8995</v>
      </c>
      <c r="C24" s="123">
        <f>C19+C20+C21+C22+C23</f>
        <v>0</v>
      </c>
      <c r="D24" s="123">
        <f>D19+D20+D21+D22+D23</f>
        <v>99568</v>
      </c>
      <c r="E24" s="123">
        <f>E19+E20+E21+E22+E23</f>
        <v>0</v>
      </c>
      <c r="F24" s="123">
        <f>F19+F20+F21+F22+F23</f>
        <v>0</v>
      </c>
      <c r="G24" s="123">
        <f>G19+G20+G21+G22+G23</f>
        <v>0</v>
      </c>
      <c r="H24" s="123">
        <f>H19+H20+H21+H22+H23</f>
        <v>99568</v>
      </c>
      <c r="I24" s="123">
        <f>I19+I20+I21+I22+I23</f>
        <v>0</v>
      </c>
      <c r="J24" s="123">
        <f>J19+J20+J21+J22+J23</f>
        <v>0</v>
      </c>
      <c r="K24" s="123">
        <f>K19+K20+K21+K22+K23</f>
        <v>0</v>
      </c>
      <c r="L24" s="123">
        <f>L19+L20+L21+L22+L23</f>
        <v>208131</v>
      </c>
      <c r="M24" s="123">
        <f>M19+M20+M21+M22+M23</f>
        <v>0</v>
      </c>
      <c r="N24" s="123">
        <f>N19+N20+N21+N22+N23</f>
        <v>-8995</v>
      </c>
      <c r="O24" s="12" t="n"/>
    </row>
    <row r="26">
      <c r="A26" s="22" t="inlineStr">
        <is>
          <t>Cost of sales (client jobs)</t>
        </is>
      </c>
    </row>
    <row r="27" ht="24" customHeight="1" s="109">
      <c r="A27" s="18" t="inlineStr">
        <is>
          <t xml:space="preserve">   Project equipment &amp; installation</t>
        </is>
      </c>
      <c r="B27" s="124">
        <f>SUMIFS(Payables!$D$19:$D$75,Payables!$G$19:$G$75,"&gt;="&amp;Assumptions!$B$44,Payables!$G$19:$G$75,"&lt;="&amp;Assumptions!$C$44,Payables!$E$19:$E$75,"&lt;&gt;Card",Payables!$F$19:$F$75,"Equipment purchases")+Assumptions!$B$29/5</f>
        <v>167794.43</v>
      </c>
      <c r="C27" s="121" t="n">
        <v>139086.23</v>
      </c>
      <c r="D27" s="120">
        <f>SUMIFS(Payables!$D$19:$D$75,Payables!$G$19:$G$75,"&gt;="&amp;Assumptions!$B$45,Payables!$G$19:$G$75,"&lt;="&amp;Assumptions!$C$45,Payables!$E$19:$E$75,"&lt;&gt;Card",Payables!$F$19:$F$75,"Equipment purchases")+Assumptions!$B$29/5</f>
        <v>43033.020000000004</v>
      </c>
      <c r="E27" s="121">
        <f>ROUND(28736.64*1.1,2)+39033.02</f>
        <v>70643.31999999999</v>
      </c>
      <c r="F27" s="120">
        <f>SUMIFS(Payables!$D$19:$D$75,Payables!$G$19:$G$75,"&gt;="&amp;Assumptions!$B$46,Payables!$G$19:$G$75,"&lt;="&amp;Assumptions!$C$46,Payables!$E$19:$E$75,"&lt;&gt;Card",Payables!$F$19:$F$75,"Equipment purchases")+Assumptions!$B$29/5</f>
        <v>11103.26</v>
      </c>
      <c r="G27" s="121" t="n"/>
      <c r="H27" s="120">
        <f>SUMIFS(Payables!$D$19:$D$75,Payables!$G$19:$G$75,"&gt;="&amp;Assumptions!$B$47,Payables!$G$19:$G$75,"&lt;="&amp;Assumptions!$C$47,Payables!$E$19:$E$75,"&lt;&gt;Card",Payables!$F$19:$F$75,"Equipment purchases")+Assumptions!$B$29/5</f>
        <v>4000</v>
      </c>
      <c r="I27" s="121" t="n"/>
      <c r="J27" s="120">
        <f>SUMIFS(Payables!$D$19:$D$75,Payables!$G$19:$G$75,"&gt;="&amp;Assumptions!$B$48,Payables!$G$19:$G$75,"&lt;="&amp;Assumptions!$C$48,Payables!$E$19:$E$75,"&lt;&gt;Card",Payables!$F$19:$F$75,"Equipment purchases")+Assumptions!$B$29/5</f>
        <v>14555.92</v>
      </c>
      <c r="K27" s="121" t="n"/>
      <c r="L27" s="120">
        <f>SUM(B27,D27,F27,H27,J27)</f>
        <v>240486.63000000003</v>
      </c>
      <c r="M27" s="120">
        <f>SUM(C27,E27,G27,I27,K27)</f>
        <v>209729.55</v>
      </c>
      <c r="N27" s="120">
        <f>(C27-B27)*C$8+(E27-D27)*E$8+(G27-F27)*G$8+(I27-H27)*I$8+(K27-J27)*K$8</f>
        <v>-28708.199999999983</v>
      </c>
      <c r="O27" s="108" t="inlineStr">
        <is>
          <t>139k was paid on the 29/09/2026. Remittance (Complete AV) table  under GC approvals was send on the 29/09. Week 2 to 12 Oct: LiveU SDI/modems $26,004 plus small items ($28,737 ex GST per Xero cash P&amp;L). Complete AV labour and programming $39,033.02 was released and paid 8 Oct - whole bill now paid.</t>
        </is>
      </c>
    </row>
    <row r="28">
      <c r="A28" s="18" t="inlineStr">
        <is>
          <t xml:space="preserve">   Sub-contract labour</t>
        </is>
      </c>
      <c r="B28" s="120">
        <f>Assumptions!$B$27/5</f>
        <v>8000</v>
      </c>
      <c r="C28" s="121" t="n"/>
      <c r="D28" s="120">
        <f>Assumptions!$B$27/5</f>
        <v>8000</v>
      </c>
      <c r="E28" s="121">
        <f>ROUND((8125.22+520.4)*1.1,2)</f>
        <v>9510.18</v>
      </c>
      <c r="F28" s="120">
        <f>Assumptions!$B$27/5</f>
        <v>8000</v>
      </c>
      <c r="G28" s="121" t="n"/>
      <c r="H28" s="120">
        <f>Assumptions!$B$27/5</f>
        <v>8000</v>
      </c>
      <c r="I28" s="121" t="n"/>
      <c r="J28" s="120">
        <f>Assumptions!$B$27/5</f>
        <v>8000</v>
      </c>
      <c r="K28" s="121" t="n"/>
      <c r="L28" s="120">
        <f>SUM(B28,D28,F28,H28,J28)</f>
        <v>40000</v>
      </c>
      <c r="M28" s="120">
        <f>SUM(C28,E28,G28,I28,K28)</f>
        <v>9510.18</v>
      </c>
      <c r="N28" s="120">
        <f>(C28-B28)*C$8+(E28-D28)*E$8+(G28-F28)*G$8+(I28-H28)*I$8+(K28-J28)*K$8</f>
        <v>-8000</v>
      </c>
      <c r="O28" s="108" t="inlineStr">
        <is>
          <t>Estimate (Sep was ~$39k), spread evenly. Week 2 actual to 12 Oct is Integration $8,125 + PRD $520 ex GST (Xero cash P&amp;L).</t>
        </is>
      </c>
    </row>
    <row r="29">
      <c r="A29" s="18" t="inlineStr">
        <is>
          <t xml:space="preserve">   Equipment &amp; service hires</t>
        </is>
      </c>
      <c r="B29" s="120">
        <f>Assumptions!$B$28/5</f>
        <v>6000</v>
      </c>
      <c r="C29" s="121" t="n"/>
      <c r="D29" s="120">
        <f>Assumptions!$B$28/5</f>
        <v>6000</v>
      </c>
      <c r="E29" s="121">
        <f>ROUND((11867.45+2204.89+222.68)*1.1,2)</f>
        <v>15724.52</v>
      </c>
      <c r="F29" s="120">
        <f>Assumptions!$B$28/5</f>
        <v>6000</v>
      </c>
      <c r="G29" s="121" t="n"/>
      <c r="H29" s="120">
        <f>Assumptions!$B$28/5</f>
        <v>6000</v>
      </c>
      <c r="I29" s="121" t="n"/>
      <c r="J29" s="120">
        <f>Assumptions!$B$28/5</f>
        <v>6000</v>
      </c>
      <c r="K29" s="121" t="n"/>
      <c r="L29" s="120">
        <f>SUM(B29,D29,F29,H29,J29)</f>
        <v>30000</v>
      </c>
      <c r="M29" s="120">
        <f>SUM(C29,E29,G29,I29,K29)</f>
        <v>15724.52</v>
      </c>
      <c r="N29" s="120">
        <f>(C29-B29)*C$8+(E29-D29)*E$8+(G29-F29)*G$8+(I29-H29)*I$8+(K29-J29)*K$8</f>
        <v>-6000</v>
      </c>
      <c r="O29" s="108" t="inlineStr">
        <is>
          <t>Estimate (Sep was ~$29k), spread evenly. Week 2 to 12 Oct: Amora Hotel, New Office screens, Valiant chairs, Resolution X, AVE, Videocraft - $14,295 ex GST per Xero cash P&amp;L.</t>
        </is>
      </c>
    </row>
    <row r="30">
      <c r="A30" s="18" t="inlineStr">
        <is>
          <t xml:space="preserve">   Subscriptions &amp; licences (client)</t>
        </is>
      </c>
      <c r="B30" s="120">
        <f>SUMIFS(Payables!$D$19:$D$75,Payables!$G$19:$G$75,"&gt;="&amp;Assumptions!$B$44,Payables!$G$19:$G$75,"&lt;="&amp;Assumptions!$C$44,Payables!$E$19:$E$75,"&lt;&gt;Card",Payables!$F$19:$F$75,"Client subscriptions")+Assumptions!$B$31/5</f>
        <v>6328.8</v>
      </c>
      <c r="C30" s="121" t="n"/>
      <c r="D30" s="120">
        <f>SUMIFS(Payables!$D$19:$D$75,Payables!$G$19:$G$75,"&gt;="&amp;Assumptions!$B$45,Payables!$G$19:$G$75,"&lt;="&amp;Assumptions!$C$45,Payables!$E$19:$E$75,"&lt;&gt;Card",Payables!$F$19:$F$75,"Client subscriptions")+Assumptions!$B$31/5</f>
        <v>5712.04</v>
      </c>
      <c r="E30" s="121">
        <f>ROUND(18837.31*1.1,2)</f>
        <v>20721.04</v>
      </c>
      <c r="F30" s="120">
        <f>SUMIFS(Payables!$D$19:$D$75,Payables!$G$19:$G$75,"&gt;="&amp;Assumptions!$B$46,Payables!$G$19:$G$75,"&lt;="&amp;Assumptions!$C$46,Payables!$E$19:$E$75,"&lt;&gt;Card",Payables!$F$19:$F$75,"Client subscriptions")+Assumptions!$B$31/5</f>
        <v>600</v>
      </c>
      <c r="G30" s="121" t="n"/>
      <c r="H30" s="120">
        <f>SUMIFS(Payables!$D$19:$D$75,Payables!$G$19:$G$75,"&gt;="&amp;Assumptions!$B$47,Payables!$G$19:$G$75,"&lt;="&amp;Assumptions!$C$47,Payables!$E$19:$E$75,"&lt;&gt;Card",Payables!$F$19:$F$75,"Client subscriptions")+Assumptions!$B$31/5</f>
        <v>21585.43</v>
      </c>
      <c r="I30" s="121" t="n"/>
      <c r="J30" s="120">
        <f>SUMIFS(Payables!$D$19:$D$75,Payables!$G$19:$G$75,"&gt;="&amp;Assumptions!$B$48,Payables!$G$19:$G$75,"&lt;="&amp;Assumptions!$C$48,Payables!$E$19:$E$75,"&lt;&gt;Card",Payables!$F$19:$F$75,"Client subscriptions")+Assumptions!$B$31/5</f>
        <v>6328.8</v>
      </c>
      <c r="K30" s="121" t="n"/>
      <c r="L30" s="120">
        <f>SUM(B30,D30,F30,H30,J30)</f>
        <v>40555.07000000001</v>
      </c>
      <c r="M30" s="120">
        <f>SUM(C30,E30,G30,I30,K30)</f>
        <v>20721.04</v>
      </c>
      <c r="N30" s="120">
        <f>(C30-B30)*C$8+(E30-D30)*E$8+(G30-F30)*G$8+(I30-H30)*I$8+(K30-J30)*K$8</f>
        <v>-6328.8</v>
      </c>
      <c r="O30" s="108" t="inlineStr">
        <is>
          <t>Payables tab (Appspace, Spacera, Eptura, LiveU) plus the unbilled estimate. Week 2 to 12 Oct: Eptura $3,627, LiveU data pack $1,485 and the rest of the $18,837 ex GST in Xero cash P&amp;L.</t>
        </is>
      </c>
    </row>
    <row r="31" ht="24" customHeight="1" s="109">
      <c r="A31" s="18" t="inlineStr">
        <is>
          <t xml:space="preserve">   Direct travel &amp; freight</t>
        </is>
      </c>
      <c r="B31" s="120">
        <f>SUMIFS(Payables!$D$19:$D$75,Payables!$G$19:$G$75,"&gt;="&amp;Assumptions!$B$44,Payables!$G$19:$G$75,"&lt;="&amp;Assumptions!$C$44,Payables!$E$19:$E$75,"&lt;&gt;Card",Payables!$F$19:$F$75,"Direct travel &amp; freight")+Assumptions!$B$30/5</f>
        <v>1400</v>
      </c>
      <c r="C31" s="121" t="n"/>
      <c r="D31" s="120">
        <f>SUMIFS(Payables!$D$19:$D$75,Payables!$G$19:$G$75,"&gt;="&amp;Assumptions!$B$45,Payables!$G$19:$G$75,"&lt;="&amp;Assumptions!$C$45,Payables!$E$19:$E$75,"&lt;&gt;Card",Payables!$F$19:$F$75,"Direct travel &amp; freight")+Assumptions!$B$30/5</f>
        <v>1400</v>
      </c>
      <c r="E31" s="121">
        <f>ROUND((1115.04+46.69)*1.1,2)</f>
        <v>1277.9</v>
      </c>
      <c r="F31" s="120">
        <f>SUMIFS(Payables!$D$19:$D$75,Payables!$G$19:$G$75,"&gt;="&amp;Assumptions!$B$46,Payables!$G$19:$G$75,"&lt;="&amp;Assumptions!$C$46,Payables!$E$19:$E$75,"&lt;&gt;Card",Payables!$F$19:$F$75,"Direct travel &amp; freight")+Assumptions!$B$30/5</f>
        <v>1400</v>
      </c>
      <c r="G31" s="121" t="n"/>
      <c r="H31" s="120">
        <f>SUMIFS(Payables!$D$19:$D$75,Payables!$G$19:$G$75,"&gt;="&amp;Assumptions!$B$47,Payables!$G$19:$G$75,"&lt;="&amp;Assumptions!$C$47,Payables!$E$19:$E$75,"&lt;&gt;Card",Payables!$F$19:$F$75,"Direct travel &amp; freight")+Assumptions!$B$30/5</f>
        <v>1400</v>
      </c>
      <c r="I31" s="121" t="n"/>
      <c r="J31" s="120">
        <f>SUMIFS(Payables!$D$19:$D$75,Payables!$G$19:$G$75,"&gt;="&amp;Assumptions!$B$48,Payables!$G$19:$G$75,"&lt;="&amp;Assumptions!$C$48,Payables!$E$19:$E$75,"&lt;&gt;Card",Payables!$F$19:$F$75,"Direct travel &amp; freight")+Assumptions!$B$30/5</f>
        <v>1400</v>
      </c>
      <c r="K31" s="121" t="n"/>
      <c r="L31" s="120">
        <f>SUM(B31,D31,F31,H31,J31)</f>
        <v>7000</v>
      </c>
      <c r="M31" s="120">
        <f>SUM(C31,E31,G31,I31,K31)</f>
        <v>1277.9</v>
      </c>
      <c r="N31" s="120">
        <f>(C31-B31)*C$8+(E31-D31)*E$8+(G31-F31)*G$8+(I31-H31)*I$8+(K31-J31)*K$8</f>
        <v>-1400</v>
      </c>
      <c r="O31" s="108" t="inlineStr">
        <is>
          <t>Estimate and  Payables tab (non-card)  - Flights and accommodation on the card sit in the credit card line.</t>
        </is>
      </c>
    </row>
    <row r="32">
      <c r="A32" s="9" t="inlineStr">
        <is>
          <t>Subtotal cost of sales</t>
        </is>
      </c>
      <c r="B32" s="123">
        <f>B27+B28+B29+B30+B31</f>
        <v>189523.22999999998</v>
      </c>
      <c r="C32" s="123">
        <f>C27+C28+C29+C30+C31</f>
        <v>139086.23</v>
      </c>
      <c r="D32" s="123">
        <f>D27+D28+D29+D30+D31</f>
        <v>64145.060000000005</v>
      </c>
      <c r="E32" s="123">
        <f>E27+E28+E29+E30+E31</f>
        <v>117876.95999999999</v>
      </c>
      <c r="F32" s="123">
        <f>F27+F28+F29+F30+F31</f>
        <v>27103.260000000002</v>
      </c>
      <c r="G32" s="123">
        <f>G27+G28+G29+G30+G31</f>
        <v>0</v>
      </c>
      <c r="H32" s="123">
        <f>H27+H28+H29+H30+H31</f>
        <v>40985.43</v>
      </c>
      <c r="I32" s="123">
        <f>I27+I28+I29+I30+I31</f>
        <v>0</v>
      </c>
      <c r="J32" s="123">
        <f>J27+J28+J29+J30+J31</f>
        <v>36284.72</v>
      </c>
      <c r="K32" s="123">
        <f>K27+K28+K29+K30+K31</f>
        <v>0</v>
      </c>
      <c r="L32" s="123">
        <f>L27+L28+L29+L30+L31</f>
        <v>358041.7</v>
      </c>
      <c r="M32" s="123">
        <f>M27+M28+M29+M30+M31</f>
        <v>256963.18999999997</v>
      </c>
      <c r="N32" s="123">
        <f>N27+N28+N29+N30+N31</f>
        <v>-50436.999999999985</v>
      </c>
      <c r="O32" s="12" t="n"/>
    </row>
    <row r="34">
      <c r="A34" s="22" t="inlineStr">
        <is>
          <t>Overheads</t>
        </is>
      </c>
    </row>
    <row r="35">
      <c r="A35" s="18" t="inlineStr">
        <is>
          <t xml:space="preserve">   Rent &amp; outgoings</t>
        </is>
      </c>
      <c r="B35" s="120">
        <f>SUMIFS(Payables!$D$19:$D$75,Payables!$G$19:$G$75,"&gt;="&amp;Assumptions!$B$44,Payables!$G$19:$G$75,"&lt;="&amp;Assumptions!$C$44,Payables!$E$19:$E$75,"&lt;&gt;Card",Payables!$F$19:$F$75,"Rent")</f>
        <v>0</v>
      </c>
      <c r="C35" s="121" t="n"/>
      <c r="D35" s="120">
        <f>SUMIFS(Payables!$D$19:$D$75,Payables!$G$19:$G$75,"&gt;="&amp;Assumptions!$B$45,Payables!$G$19:$G$75,"&lt;="&amp;Assumptions!$C$45,Payables!$E$19:$E$75,"&lt;&gt;Card",Payables!$F$19:$F$75,"Rent")</f>
        <v>0</v>
      </c>
      <c r="E35" s="121" t="n">
        <v>0</v>
      </c>
      <c r="F35" s="120">
        <f>SUMIFS(Payables!$D$19:$D$75,Payables!$G$19:$G$75,"&gt;="&amp;Assumptions!$B$46,Payables!$G$19:$G$75,"&lt;="&amp;Assumptions!$C$46,Payables!$E$19:$E$75,"&lt;&gt;Card",Payables!$F$19:$F$75,"Rent")</f>
        <v>0</v>
      </c>
      <c r="G35" s="121" t="n"/>
      <c r="H35" s="120">
        <f>SUMIFS(Payables!$D$19:$D$75,Payables!$G$19:$G$75,"&gt;="&amp;Assumptions!$B$47,Payables!$G$19:$G$75,"&lt;="&amp;Assumptions!$C$47,Payables!$E$19:$E$75,"&lt;&gt;Card",Payables!$F$19:$F$75,"Rent")</f>
        <v>29280.72</v>
      </c>
      <c r="I35" s="121" t="n"/>
      <c r="J35" s="120">
        <f>SUMIFS(Payables!$D$19:$D$75,Payables!$G$19:$G$75,"&gt;="&amp;Assumptions!$B$48,Payables!$G$19:$G$75,"&lt;="&amp;Assumptions!$C$48,Payables!$E$19:$E$75,"&lt;&gt;Card",Payables!$F$19:$F$75,"Rent")</f>
        <v>0</v>
      </c>
      <c r="K35" s="121" t="n"/>
      <c r="L35" s="120">
        <f>SUM(B35,D35,F35,H35,J35)</f>
        <v>29280.72</v>
      </c>
      <c r="M35" s="120">
        <f>SUM(C35,E35,G35,I35,K35)</f>
        <v>0</v>
      </c>
      <c r="N35" s="120">
        <f>(C35-B35)*C$8+(E35-D35)*E$8+(G35-F35)*G$8+(I35-H35)*I$8+(K35-J35)*K$8</f>
        <v>0</v>
      </c>
      <c r="O35" s="108" t="inlineStr">
        <is>
          <t>Investa Sep rent $29,281 due 22 Oct. Oct rent falls in Nov.</t>
        </is>
      </c>
    </row>
    <row r="36">
      <c r="A36" s="18" t="inlineStr">
        <is>
          <t xml:space="preserve">   IT network service &amp; support</t>
        </is>
      </c>
      <c r="B36" s="120">
        <f>SUMIFS(Payables!$D$19:$D$75,Payables!$G$19:$G$75,"&gt;="&amp;Assumptions!$B$44,Payables!$G$19:$G$75,"&lt;="&amp;Assumptions!$C$44,Payables!$E$19:$E$75,"&lt;&gt;Card",Payables!$F$19:$F$75,"IT support")</f>
        <v>0</v>
      </c>
      <c r="C36" s="121" t="n"/>
      <c r="D36" s="120">
        <f>SUMIFS(Payables!$D$19:$D$75,Payables!$G$19:$G$75,"&gt;="&amp;Assumptions!$B$45,Payables!$G$19:$G$75,"&lt;="&amp;Assumptions!$C$45,Payables!$E$19:$E$75,"&lt;&gt;Card",Payables!$F$19:$F$75,"IT support")</f>
        <v>692.84</v>
      </c>
      <c r="E36" s="121" t="n">
        <v>0</v>
      </c>
      <c r="F36" s="120">
        <f>SUMIFS(Payables!$D$19:$D$75,Payables!$G$19:$G$75,"&gt;="&amp;Assumptions!$B$46,Payables!$G$19:$G$75,"&lt;="&amp;Assumptions!$C$46,Payables!$E$19:$E$75,"&lt;&gt;Card",Payables!$F$19:$F$75,"IT support")</f>
        <v>13566</v>
      </c>
      <c r="G36" s="121" t="n"/>
      <c r="H36" s="120">
        <f>SUMIFS(Payables!$D$19:$D$75,Payables!$G$19:$G$75,"&gt;="&amp;Assumptions!$B$47,Payables!$G$19:$G$75,"&lt;="&amp;Assumptions!$C$47,Payables!$E$19:$E$75,"&lt;&gt;Card",Payables!$F$19:$F$75,"IT support")</f>
        <v>0</v>
      </c>
      <c r="I36" s="121" t="n"/>
      <c r="J36" s="120">
        <f>SUMIFS(Payables!$D$19:$D$75,Payables!$G$19:$G$75,"&gt;="&amp;Assumptions!$B$48,Payables!$G$19:$G$75,"&lt;="&amp;Assumptions!$C$48,Payables!$E$19:$E$75,"&lt;&gt;Card",Payables!$F$19:$F$75,"IT support")</f>
        <v>0</v>
      </c>
      <c r="K36" s="121" t="n"/>
      <c r="L36" s="120">
        <f>SUM(B36,D36,F36,H36,J36)</f>
        <v>14258.84</v>
      </c>
      <c r="M36" s="120">
        <f>SUM(C36,E36,G36,I36,K36)</f>
        <v>0</v>
      </c>
      <c r="N36" s="120">
        <f>(C36-B36)*C$8+(E36-D36)*E$8+(G36-F36)*G$8+(I36-H36)*I$8+(K36-J36)*K$8</f>
        <v>0</v>
      </c>
      <c r="O36" s="108" t="inlineStr">
        <is>
          <t>First Focus CORE + Azure, DD around 16 Oct.</t>
        </is>
      </c>
    </row>
    <row r="37" ht="24" customHeight="1" s="109">
      <c r="A37" s="18" t="inlineStr">
        <is>
          <t xml:space="preserve">   Advertising &amp; marketing</t>
        </is>
      </c>
      <c r="B37" s="120">
        <f>SUMIFS(Payables!$D$19:$D$75,Payables!$G$19:$G$75,"&gt;="&amp;Assumptions!$B$44,Payables!$G$19:$G$75,"&lt;="&amp;Assumptions!$C$44,Payables!$E$19:$E$75,"&lt;&gt;Card",Payables!$F$19:$F$75,"Advertising")</f>
        <v>6600</v>
      </c>
      <c r="C37" s="121" t="n"/>
      <c r="D37" s="120">
        <f>SUMIFS(Payables!$D$19:$D$75,Payables!$G$19:$G$75,"&gt;="&amp;Assumptions!$B$45,Payables!$G$19:$G$75,"&lt;="&amp;Assumptions!$C$45,Payables!$E$19:$E$75,"&lt;&gt;Card",Payables!$F$19:$F$75,"Advertising")</f>
        <v>0</v>
      </c>
      <c r="E37" s="121" t="n">
        <v>0</v>
      </c>
      <c r="F37" s="120">
        <f>SUMIFS(Payables!$D$19:$D$75,Payables!$G$19:$G$75,"&gt;="&amp;Assumptions!$B$46,Payables!$G$19:$G$75,"&lt;="&amp;Assumptions!$C$46,Payables!$E$19:$E$75,"&lt;&gt;Card",Payables!$F$19:$F$75,"Advertising")</f>
        <v>4675</v>
      </c>
      <c r="G37" s="121" t="n"/>
      <c r="H37" s="120">
        <f>SUMIFS(Payables!$D$19:$D$75,Payables!$G$19:$G$75,"&gt;="&amp;Assumptions!$B$47,Payables!$G$19:$G$75,"&lt;="&amp;Assumptions!$C$47,Payables!$E$19:$E$75,"&lt;&gt;Card",Payables!$F$19:$F$75,"Advertising")</f>
        <v>0</v>
      </c>
      <c r="I37" s="121" t="n"/>
      <c r="J37" s="120">
        <f>SUMIFS(Payables!$D$19:$D$75,Payables!$G$19:$G$75,"&gt;="&amp;Assumptions!$B$48,Payables!$G$19:$G$75,"&lt;="&amp;Assumptions!$C$48,Payables!$E$19:$E$75,"&lt;&gt;Card",Payables!$F$19:$F$75,"Advertising")</f>
        <v>4823.5</v>
      </c>
      <c r="K37" s="121" t="n"/>
      <c r="L37" s="120">
        <f>SUM(B37,D37,F37,H37,J37)</f>
        <v>16098.5</v>
      </c>
      <c r="M37" s="120">
        <f>SUM(C37,E37,G37,I37,K37)</f>
        <v>0</v>
      </c>
      <c r="N37" s="120">
        <f>(C37-B37)*C$8+(E37-D37)*E$8+(G37-F37)*G$8+(I37-H37)*I$8+(K37-J37)*K$8</f>
        <v>-6600</v>
      </c>
      <c r="O37" s="108" t="inlineStr">
        <is>
          <t>RJW website balance $6,600 (check with DL first) and RJW digital marketing $4,675.</t>
        </is>
      </c>
    </row>
    <row r="38" ht="24" customHeight="1" s="109">
      <c r="A38" s="18" t="inlineStr">
        <is>
          <t xml:space="preserve">   Accounting, legal &amp; advisory</t>
        </is>
      </c>
      <c r="B38" s="120">
        <f>SUMIFS(Payables!$D$19:$D$75,Payables!$G$19:$G$75,"&gt;="&amp;Assumptions!$B$44,Payables!$G$19:$G$75,"&lt;="&amp;Assumptions!$C$44,Payables!$E$19:$E$75,"&lt;&gt;Card",Payables!$F$19:$F$75,"Professional fees")+Assumptions!$B$33/5</f>
        <v>1680</v>
      </c>
      <c r="C38" s="121" t="n"/>
      <c r="D38" s="120">
        <f>SUMIFS(Payables!$D$19:$D$75,Payables!$G$19:$G$75,"&gt;="&amp;Assumptions!$B$45,Payables!$G$19:$G$75,"&lt;="&amp;Assumptions!$C$45,Payables!$E$19:$E$75,"&lt;&gt;Card",Payables!$F$19:$F$75,"Professional fees")+Assumptions!$B$33/5</f>
        <v>1680</v>
      </c>
      <c r="E38" s="121" t="n">
        <v>0</v>
      </c>
      <c r="F38" s="120">
        <f>SUMIFS(Payables!$D$19:$D$75,Payables!$G$19:$G$75,"&gt;="&amp;Assumptions!$B$46,Payables!$G$19:$G$75,"&lt;="&amp;Assumptions!$C$46,Payables!$E$19:$E$75,"&lt;&gt;Card",Payables!$F$19:$F$75,"Professional fees")+Assumptions!$B$33/5</f>
        <v>4650</v>
      </c>
      <c r="G38" s="121" t="n"/>
      <c r="H38" s="120">
        <f>SUMIFS(Payables!$D$19:$D$75,Payables!$G$19:$G$75,"&gt;="&amp;Assumptions!$B$47,Payables!$G$19:$G$75,"&lt;="&amp;Assumptions!$C$47,Payables!$E$19:$E$75,"&lt;&gt;Card",Payables!$F$19:$F$75,"Professional fees")+Assumptions!$B$33/5</f>
        <v>800</v>
      </c>
      <c r="I38" s="121" t="n"/>
      <c r="J38" s="120">
        <f>SUMIFS(Payables!$D$19:$D$75,Payables!$G$19:$G$75,"&gt;="&amp;Assumptions!$B$48,Payables!$G$19:$G$75,"&lt;="&amp;Assumptions!$C$48,Payables!$E$19:$E$75,"&lt;&gt;Card",Payables!$F$19:$F$75,"Professional fees")+Assumptions!$B$33/5</f>
        <v>4732.5</v>
      </c>
      <c r="K38" s="121" t="n"/>
      <c r="L38" s="120">
        <f>SUM(B38,D38,F38,H38,J38)</f>
        <v>13542.5</v>
      </c>
      <c r="M38" s="120">
        <f>SUM(C38,E38,G38,I38,K38)</f>
        <v>0</v>
      </c>
      <c r="N38" s="120">
        <f>(C38-B38)*C$8+(E38-D38)*E$8+(G38-F38)*G$8+(I38-H38)*I$8+(K38-J38)*K$8</f>
        <v>-1680</v>
      </c>
      <c r="O38" s="108" t="inlineStr">
        <is>
          <t>8020 Advisors retainer and Employsure, plus the estimate for accounting / legal.</t>
        </is>
      </c>
    </row>
    <row r="39" ht="24" customHeight="1" s="109">
      <c r="A39" s="18" t="inlineStr">
        <is>
          <t xml:space="preserve">   Dues &amp; subscriptions</t>
        </is>
      </c>
      <c r="B39" s="120">
        <f>SUMIFS(Payables!$D$19:$D$75,Payables!$G$19:$G$75,"&gt;="&amp;Assumptions!$B$44,Payables!$G$19:$G$75,"&lt;="&amp;Assumptions!$C$44,Payables!$E$19:$E$75,"&lt;&gt;Card",Payables!$F$19:$F$75,"Dues &amp; subscriptions")</f>
        <v>0</v>
      </c>
      <c r="C39" s="121" t="n"/>
      <c r="D39" s="120">
        <f>SUMIFS(Payables!$D$19:$D$75,Payables!$G$19:$G$75,"&gt;="&amp;Assumptions!$B$45,Payables!$G$19:$G$75,"&lt;="&amp;Assumptions!$C$45,Payables!$E$19:$E$75,"&lt;&gt;Card",Payables!$F$19:$F$75,"Dues &amp; subscriptions")</f>
        <v>0</v>
      </c>
      <c r="E39" s="121" t="n">
        <v>0</v>
      </c>
      <c r="F39" s="120">
        <f>SUMIFS(Payables!$D$19:$D$75,Payables!$G$19:$G$75,"&gt;="&amp;Assumptions!$B$46,Payables!$G$19:$G$75,"&lt;="&amp;Assumptions!$C$46,Payables!$E$19:$E$75,"&lt;&gt;Card",Payables!$F$19:$F$75,"Dues &amp; subscriptions")</f>
        <v>2310</v>
      </c>
      <c r="G39" s="121" t="n"/>
      <c r="H39" s="120">
        <f>SUMIFS(Payables!$D$19:$D$75,Payables!$G$19:$G$75,"&gt;="&amp;Assumptions!$B$47,Payables!$G$19:$G$75,"&lt;="&amp;Assumptions!$C$47,Payables!$E$19:$E$75,"&lt;&gt;Card",Payables!$F$19:$F$75,"Dues &amp; subscriptions")</f>
        <v>0</v>
      </c>
      <c r="I39" s="121" t="n"/>
      <c r="J39" s="120">
        <f>SUMIFS(Payables!$D$19:$D$75,Payables!$G$19:$G$75,"&gt;="&amp;Assumptions!$B$48,Payables!$G$19:$G$75,"&lt;="&amp;Assumptions!$C$48,Payables!$E$19:$E$75,"&lt;&gt;Card",Payables!$F$19:$F$75,"Dues &amp; subscriptions")</f>
        <v>0</v>
      </c>
      <c r="K39" s="121" t="n"/>
      <c r="L39" s="120">
        <f>SUM(B39,D39,F39,H39,J39)</f>
        <v>2310</v>
      </c>
      <c r="M39" s="120">
        <f>SUM(C39,E39,G39,I39,K39)</f>
        <v>0</v>
      </c>
      <c r="N39" s="120">
        <f>(C39-B39)*C$8+(E39-D39)*E$8+(G39-F39)*G$8+(I39-H39)*I$8+(K39-J39)*K$8</f>
        <v>0</v>
      </c>
      <c r="O39" s="108" t="inlineStr">
        <is>
          <t>Non-card only (CEO Institute quarterly). Card subscriptions are in the credit card line.</t>
        </is>
      </c>
    </row>
    <row r="40">
      <c r="A40" s="18" t="inlineStr">
        <is>
          <t xml:space="preserve">   Telephone &amp; internet</t>
        </is>
      </c>
      <c r="B40" s="120">
        <f>SUMIFS(Payables!$D$19:$D$75,Payables!$G$19:$G$75,"&gt;="&amp;Assumptions!$B$44,Payables!$G$19:$G$75,"&lt;="&amp;Assumptions!$C$44,Payables!$E$19:$E$75,"&lt;&gt;Card",Payables!$F$19:$F$75,"Telephone &amp; internet")</f>
        <v>0</v>
      </c>
      <c r="C40" s="121" t="n"/>
      <c r="D40" s="120">
        <f>SUMIFS(Payables!$D$19:$D$75,Payables!$G$19:$G$75,"&gt;="&amp;Assumptions!$B$45,Payables!$G$19:$G$75,"&lt;="&amp;Assumptions!$C$45,Payables!$E$19:$E$75,"&lt;&gt;Card",Payables!$F$19:$F$75,"Telephone &amp; internet")</f>
        <v>940.11</v>
      </c>
      <c r="E40" s="121">
        <f>804.11+136</f>
        <v>940.11</v>
      </c>
      <c r="F40" s="120">
        <f>SUMIFS(Payables!$D$19:$D$75,Payables!$G$19:$G$75,"&gt;="&amp;Assumptions!$B$46,Payables!$G$19:$G$75,"&lt;="&amp;Assumptions!$C$46,Payables!$E$19:$E$75,"&lt;&gt;Card",Payables!$F$19:$F$75,"Telephone &amp; internet")</f>
        <v>101.2</v>
      </c>
      <c r="G40" s="121" t="n"/>
      <c r="H40" s="120">
        <f>SUMIFS(Payables!$D$19:$D$75,Payables!$G$19:$G$75,"&gt;="&amp;Assumptions!$B$47,Payables!$G$19:$G$75,"&lt;="&amp;Assumptions!$C$47,Payables!$E$19:$E$75,"&lt;&gt;Card",Payables!$F$19:$F$75,"Telephone &amp; internet")</f>
        <v>0</v>
      </c>
      <c r="I40" s="121" t="n"/>
      <c r="J40" s="120">
        <f>SUMIFS(Payables!$D$19:$D$75,Payables!$G$19:$G$75,"&gt;="&amp;Assumptions!$B$48,Payables!$G$19:$G$75,"&lt;="&amp;Assumptions!$C$48,Payables!$E$19:$E$75,"&lt;&gt;Card",Payables!$F$19:$F$75,"Telephone &amp; internet")</f>
        <v>0</v>
      </c>
      <c r="K40" s="121" t="n"/>
      <c r="L40" s="120">
        <f>SUM(B40,D40,F40,H40,J40)</f>
        <v>1041.31</v>
      </c>
      <c r="M40" s="120">
        <f>SUM(C40,E40,G40,I40,K40)</f>
        <v>940.11</v>
      </c>
      <c r="N40" s="120">
        <f>(C40-B40)*C$8+(E40-D40)*E$8+(G40-F40)*G$8+(I40-H40)*I$8+(K40-J40)*K$8</f>
        <v>0</v>
      </c>
      <c r="O40" s="108" t="inlineStr">
        <is>
          <t>Optus mobiles BPAY, Telstra Nighthawk. Optus internet is on the card. Week 2 actual: Optus mobiles $804.11 + Telstra $136, both paid 8 Oct.</t>
        </is>
      </c>
    </row>
    <row r="41">
      <c r="A41" s="18" t="inlineStr">
        <is>
          <t xml:space="preserve">   Recruitment</t>
        </is>
      </c>
      <c r="B41" s="120">
        <f>SUMIFS(Payables!$D$19:$D$75,Payables!$G$19:$G$75,"&gt;="&amp;Assumptions!$B$44,Payables!$G$19:$G$75,"&lt;="&amp;Assumptions!$C$44,Payables!$E$19:$E$75,"&lt;&gt;Card",Payables!$F$19:$F$75,"Recruitment")+Assumptions!$B$32/5</f>
        <v>1000</v>
      </c>
      <c r="C41" s="121" t="n"/>
      <c r="D41" s="120">
        <f>SUMIFS(Payables!$D$19:$D$75,Payables!$G$19:$G$75,"&gt;="&amp;Assumptions!$B$45,Payables!$G$19:$G$75,"&lt;="&amp;Assumptions!$C$45,Payables!$E$19:$E$75,"&lt;&gt;Card",Payables!$F$19:$F$75,"Recruitment")+Assumptions!$B$32/5</f>
        <v>1000</v>
      </c>
      <c r="E41" s="121" t="n">
        <v>0</v>
      </c>
      <c r="F41" s="120">
        <f>SUMIFS(Payables!$D$19:$D$75,Payables!$G$19:$G$75,"&gt;="&amp;Assumptions!$B$46,Payables!$G$19:$G$75,"&lt;="&amp;Assumptions!$C$46,Payables!$E$19:$E$75,"&lt;&gt;Card",Payables!$F$19:$F$75,"Recruitment")+Assumptions!$B$32/5</f>
        <v>1000</v>
      </c>
      <c r="G41" s="121" t="n"/>
      <c r="H41" s="120">
        <f>SUMIFS(Payables!$D$19:$D$75,Payables!$G$19:$G$75,"&gt;="&amp;Assumptions!$B$47,Payables!$G$19:$G$75,"&lt;="&amp;Assumptions!$C$47,Payables!$E$19:$E$75,"&lt;&gt;Card",Payables!$F$19:$F$75,"Recruitment")+Assumptions!$B$32/5</f>
        <v>1000</v>
      </c>
      <c r="I41" s="121" t="n"/>
      <c r="J41" s="120">
        <f>SUMIFS(Payables!$D$19:$D$75,Payables!$G$19:$G$75,"&gt;="&amp;Assumptions!$B$48,Payables!$G$19:$G$75,"&lt;="&amp;Assumptions!$C$48,Payables!$E$19:$E$75,"&lt;&gt;Card",Payables!$F$19:$F$75,"Recruitment")+Assumptions!$B$32/5</f>
        <v>1000</v>
      </c>
      <c r="K41" s="121" t="n"/>
      <c r="L41" s="120">
        <f>SUM(B41,D41,F41,H41,J41)</f>
        <v>5000</v>
      </c>
      <c r="M41" s="120">
        <f>SUM(C41,E41,G41,I41,K41)</f>
        <v>0</v>
      </c>
      <c r="N41" s="120">
        <f>(C41-B41)*C$8+(E41-D41)*E$8+(G41-F41)*G$8+(I41-H41)*I$8+(K41-J41)*K$8</f>
        <v>-1000</v>
      </c>
      <c r="O41" s="108" t="inlineStr">
        <is>
          <t>Estimate. Seek ads go on the card.</t>
        </is>
      </c>
    </row>
    <row r="42">
      <c r="A42" s="18" t="inlineStr">
        <is>
          <t xml:space="preserve">   Insurance</t>
        </is>
      </c>
      <c r="B42" s="120">
        <f>SUMIFS(Payables!$D$19:$D$75,Payables!$G$19:$G$75,"&gt;="&amp;Assumptions!$B$44,Payables!$G$19:$G$75,"&lt;="&amp;Assumptions!$C$44,Payables!$E$19:$E$75,"&lt;&gt;Card",Payables!$F$19:$F$75,"Insurance")+Assumptions!$B$34/5</f>
        <v>0</v>
      </c>
      <c r="C42" s="121" t="n"/>
      <c r="D42" s="120">
        <f>SUMIFS(Payables!$D$19:$D$75,Payables!$G$19:$G$75,"&gt;="&amp;Assumptions!$B$45,Payables!$G$19:$G$75,"&lt;="&amp;Assumptions!$C$45,Payables!$E$19:$E$75,"&lt;&gt;Card",Payables!$F$19:$F$75,"Insurance")+Assumptions!$B$34/5</f>
        <v>66238.98</v>
      </c>
      <c r="E42" s="121" t="n">
        <v>0</v>
      </c>
      <c r="F42" s="120">
        <f>SUMIFS(Payables!$D$19:$D$75,Payables!$G$19:$G$75,"&gt;="&amp;Assumptions!$B$46,Payables!$G$19:$G$75,"&lt;="&amp;Assumptions!$C$46,Payables!$E$19:$E$75,"&lt;&gt;Card",Payables!$F$19:$F$75,"Insurance")+Assumptions!$B$34/5</f>
        <v>0</v>
      </c>
      <c r="G42" s="121" t="n"/>
      <c r="H42" s="120">
        <f>SUMIFS(Payables!$D$19:$D$75,Payables!$G$19:$G$75,"&gt;="&amp;Assumptions!$B$47,Payables!$G$19:$G$75,"&lt;="&amp;Assumptions!$C$47,Payables!$E$19:$E$75,"&lt;&gt;Card",Payables!$F$19:$F$75,"Insurance")+Assumptions!$B$34/5</f>
        <v>0</v>
      </c>
      <c r="I42" s="121" t="n"/>
      <c r="J42" s="120">
        <f>SUMIFS(Payables!$D$19:$D$75,Payables!$G$19:$G$75,"&gt;="&amp;Assumptions!$B$48,Payables!$G$19:$G$75,"&lt;="&amp;Assumptions!$C$48,Payables!$E$19:$E$75,"&lt;&gt;Card",Payables!$F$19:$F$75,"Insurance")+Assumptions!$B$34/5</f>
        <v>0</v>
      </c>
      <c r="K42" s="121" t="n"/>
      <c r="L42" s="120">
        <f>SUM(B42,D42,F42,H42,J42)</f>
        <v>66238.98</v>
      </c>
      <c r="M42" s="120">
        <f>SUM(C42,E42,G42,I42,K42)</f>
        <v>0</v>
      </c>
      <c r="N42" s="120">
        <f>(C42-B42)*C$8+(E42-D42)*E$8+(G42-F42)*G$8+(I42-H42)*I$8+(K42-J42)*K$8</f>
        <v>0</v>
      </c>
      <c r="O42" s="108" t="inlineStr">
        <is>
          <t>Brookvale annual renewals $66,239 due Wed 14 Oct (six bills, GC approved) - Payables tab. Was a $3k a month estimate, now nil on top.</t>
        </is>
      </c>
    </row>
    <row r="43">
      <c r="A43" s="18" t="inlineStr">
        <is>
          <t xml:space="preserve">   Office, printing &amp; amenities</t>
        </is>
      </c>
      <c r="B43" s="120">
        <f>SUMIFS(Payables!$D$19:$D$75,Payables!$G$19:$G$75,"&gt;="&amp;Assumptions!$B$44,Payables!$G$19:$G$75,"&lt;="&amp;Assumptions!$C$44,Payables!$E$19:$E$75,"&lt;&gt;Card",Payables!$F$19:$F$75,"Office")+Assumptions!$B$35/5</f>
        <v>635.6</v>
      </c>
      <c r="C43" s="121" t="n">
        <v>235.6</v>
      </c>
      <c r="D43" s="120">
        <f>SUMIFS(Payables!$D$19:$D$75,Payables!$G$19:$G$75,"&gt;="&amp;Assumptions!$B$45,Payables!$G$19:$G$75,"&lt;="&amp;Assumptions!$C$45,Payables!$E$19:$E$75,"&lt;&gt;Card",Payables!$F$19:$F$75,"Office")+Assumptions!$B$35/5</f>
        <v>645</v>
      </c>
      <c r="E43" s="121" t="n">
        <v>245</v>
      </c>
      <c r="F43" s="120">
        <f>SUMIFS(Payables!$D$19:$D$75,Payables!$G$19:$G$75,"&gt;="&amp;Assumptions!$B$46,Payables!$G$19:$G$75,"&lt;="&amp;Assumptions!$C$46,Payables!$E$19:$E$75,"&lt;&gt;Card",Payables!$F$19:$F$75,"Office")+Assumptions!$B$35/5</f>
        <v>400</v>
      </c>
      <c r="G43" s="121" t="n"/>
      <c r="H43" s="120">
        <f>SUMIFS(Payables!$D$19:$D$75,Payables!$G$19:$G$75,"&gt;="&amp;Assumptions!$B$47,Payables!$G$19:$G$75,"&lt;="&amp;Assumptions!$C$47,Payables!$E$19:$E$75,"&lt;&gt;Card",Payables!$F$19:$F$75,"Office")+Assumptions!$B$35/5</f>
        <v>400</v>
      </c>
      <c r="I43" s="121" t="n"/>
      <c r="J43" s="120">
        <f>SUMIFS(Payables!$D$19:$D$75,Payables!$G$19:$G$75,"&gt;="&amp;Assumptions!$B$48,Payables!$G$19:$G$75,"&lt;="&amp;Assumptions!$C$48,Payables!$E$19:$E$75,"&lt;&gt;Card",Payables!$F$19:$F$75,"Office")+Assumptions!$B$35/5</f>
        <v>610.2</v>
      </c>
      <c r="K43" s="121" t="n"/>
      <c r="L43" s="120">
        <f>SUM(B43,D43,F43,H43,J43)</f>
        <v>2690.8</v>
      </c>
      <c r="M43" s="120">
        <f>SUM(C43,E43,G43,I43,K43)</f>
        <v>480.6</v>
      </c>
      <c r="N43" s="120">
        <f>(C43-B43)*C$8+(E43-D43)*E$8+(G43-F43)*G$8+(I43-H43)*I$8+(K43-J43)*K$8</f>
        <v>-400</v>
      </c>
      <c r="O43" s="108" t="inlineStr">
        <is>
          <t>Ricoh printing DD, Posh plants, plus the estimate. Week 2 actual: Posh plants $245 (8 Oct).</t>
        </is>
      </c>
    </row>
    <row r="44">
      <c r="A44" s="18" t="inlineStr">
        <is>
          <t xml:space="preserve">   Electricity</t>
        </is>
      </c>
      <c r="B44" s="120">
        <f>SUMIFS(Payables!$D$19:$D$75,Payables!$G$19:$G$75,"&gt;="&amp;Assumptions!$B$44,Payables!$G$19:$G$75,"&lt;="&amp;Assumptions!$C$44,Payables!$E$19:$E$75,"&lt;&gt;Card",Payables!$F$19:$F$75,"Electricity")</f>
        <v>0</v>
      </c>
      <c r="C44" s="121" t="n"/>
      <c r="D44" s="120">
        <f>SUMIFS(Payables!$D$19:$D$75,Payables!$G$19:$G$75,"&gt;="&amp;Assumptions!$B$45,Payables!$G$19:$G$75,"&lt;="&amp;Assumptions!$C$45,Payables!$E$19:$E$75,"&lt;&gt;Card",Payables!$F$19:$F$75,"Electricity")</f>
        <v>0</v>
      </c>
      <c r="E44" s="121" t="n">
        <v>0</v>
      </c>
      <c r="F44" s="120">
        <f>SUMIFS(Payables!$D$19:$D$75,Payables!$G$19:$G$75,"&gt;="&amp;Assumptions!$B$46,Payables!$G$19:$G$75,"&lt;="&amp;Assumptions!$C$46,Payables!$E$19:$E$75,"&lt;&gt;Card",Payables!$F$19:$F$75,"Electricity")</f>
        <v>0</v>
      </c>
      <c r="G44" s="121" t="n"/>
      <c r="H44" s="120">
        <f>SUMIFS(Payables!$D$19:$D$75,Payables!$G$19:$G$75,"&gt;="&amp;Assumptions!$B$47,Payables!$G$19:$G$75,"&lt;="&amp;Assumptions!$C$47,Payables!$E$19:$E$75,"&lt;&gt;Card",Payables!$F$19:$F$75,"Electricity")</f>
        <v>0</v>
      </c>
      <c r="I44" s="121" t="n"/>
      <c r="J44" s="120">
        <f>SUMIFS(Payables!$D$19:$D$75,Payables!$G$19:$G$75,"&gt;="&amp;Assumptions!$B$48,Payables!$G$19:$G$75,"&lt;="&amp;Assumptions!$C$48,Payables!$E$19:$E$75,"&lt;&gt;Card",Payables!$F$19:$F$75,"Electricity")</f>
        <v>0</v>
      </c>
      <c r="K44" s="121" t="n"/>
      <c r="L44" s="120">
        <f>SUM(B44,D44,F44,H44,J44)</f>
        <v>0</v>
      </c>
      <c r="M44" s="120">
        <f>SUM(C44,E44,G44,I44,K44)</f>
        <v>0</v>
      </c>
      <c r="N44" s="120">
        <f>(C44-B44)*C$8+(E44-D44)*E$8+(G44-F44)*G$8+(I44-H44)*I$8+(K44-J44)*K$8</f>
        <v>0</v>
      </c>
      <c r="O44" s="108" t="inlineStr">
        <is>
          <t>Energy Australia DDs the PL card so it shows in the credit card line, not here.</t>
        </is>
      </c>
    </row>
    <row r="45">
      <c r="A45" s="18" t="inlineStr">
        <is>
          <t xml:space="preserve">   Bank &amp; merchant fees</t>
        </is>
      </c>
      <c r="B45" s="120">
        <f>Assumptions!$B$36/5</f>
        <v>200</v>
      </c>
      <c r="C45" s="121" t="n">
        <v>10</v>
      </c>
      <c r="D45" s="120">
        <f>Assumptions!$B$36/5</f>
        <v>200</v>
      </c>
      <c r="E45" s="121" t="n">
        <v>0</v>
      </c>
      <c r="F45" s="120">
        <f>Assumptions!$B$36/5</f>
        <v>200</v>
      </c>
      <c r="G45" s="121" t="n"/>
      <c r="H45" s="120">
        <f>Assumptions!$B$36/5</f>
        <v>200</v>
      </c>
      <c r="I45" s="121" t="n"/>
      <c r="J45" s="120">
        <f>Assumptions!$B$36/5</f>
        <v>200</v>
      </c>
      <c r="K45" s="121" t="n"/>
      <c r="L45" s="120">
        <f>SUM(B45,D45,F45,H45,J45)</f>
        <v>1000</v>
      </c>
      <c r="M45" s="120">
        <f>SUM(C45,E45,G45,I45,K45)</f>
        <v>10</v>
      </c>
      <c r="N45" s="120">
        <f>(C45-B45)*C$8+(E45-D45)*E$8+(G45-F45)*G$8+(I45-H45)*I$8+(K45-J45)*K$8</f>
        <v>-190</v>
      </c>
      <c r="O45" s="108" t="inlineStr">
        <is>
          <t>Estimate - bank charges and Stripe.</t>
        </is>
      </c>
    </row>
    <row r="46" ht="24" customHeight="1" s="109">
      <c r="A46" s="18" t="inlineStr">
        <is>
          <t xml:space="preserve">   Credit card settlements (card spend, all categories)</t>
        </is>
      </c>
      <c r="B46" s="120">
        <f>Assumptions!$B$37/5</f>
        <v>5000</v>
      </c>
      <c r="C46" s="121" t="n"/>
      <c r="D46" s="120">
        <f>Assumptions!$B$37/5</f>
        <v>5000</v>
      </c>
      <c r="E46" s="121" t="n">
        <v>0</v>
      </c>
      <c r="F46" s="120">
        <f>Assumptions!$B$37/5</f>
        <v>5000</v>
      </c>
      <c r="G46" s="121" t="n"/>
      <c r="H46" s="120">
        <f>Assumptions!$B$37/5</f>
        <v>5000</v>
      </c>
      <c r="I46" s="121" t="n"/>
      <c r="J46" s="120">
        <f>Assumptions!$B$37/5</f>
        <v>5000</v>
      </c>
      <c r="K46" s="121" t="n"/>
      <c r="L46" s="120">
        <f>SUM(B46,D46,F46,H46,J46)</f>
        <v>25000</v>
      </c>
      <c r="M46" s="120">
        <f>SUM(C46,E46,G46,I46,K46)</f>
        <v>0</v>
      </c>
      <c r="N46" s="120">
        <f>(C46-B46)*C$8+(E46-D46)*E$8+(G46-F46)*G$8+(I46-H46)*I$8+(K46-J46)*K$8</f>
        <v>-5000</v>
      </c>
      <c r="O46" s="108" t="inlineStr">
        <is>
          <t>~$25k a month transferred to the PL and DL cards. Covers every Card row on the Payables tab (subscriptions, travel, electricity, Seek, Goget, EH).</t>
        </is>
      </c>
    </row>
    <row r="47">
      <c r="A47" s="18" t="inlineStr">
        <is>
          <t xml:space="preserve">   Other expenses</t>
        </is>
      </c>
      <c r="B47" s="120">
        <f>SUMIFS(Payables!$D$19:$D$75,Payables!$G$19:$G$75,"&gt;="&amp;Assumptions!$B$44,Payables!$G$19:$G$75,"&lt;="&amp;Assumptions!$C$44,Payables!$E$19:$E$75,"&lt;&gt;Card",Payables!$F$19:$F$75,"Other")</f>
        <v>0</v>
      </c>
      <c r="C47" s="121" t="n"/>
      <c r="D47" s="120">
        <f>SUMIFS(Payables!$D$19:$D$75,Payables!$G$19:$G$75,"&gt;="&amp;Assumptions!$B$45,Payables!$G$19:$G$75,"&lt;="&amp;Assumptions!$C$45,Payables!$E$19:$E$75,"&lt;&gt;Card",Payables!$F$19:$F$75,"Other")</f>
        <v>0</v>
      </c>
      <c r="E47" s="121" t="n">
        <v>0</v>
      </c>
      <c r="F47" s="120">
        <f>SUMIFS(Payables!$D$19:$D$75,Payables!$G$19:$G$75,"&gt;="&amp;Assumptions!$B$46,Payables!$G$19:$G$75,"&lt;="&amp;Assumptions!$C$46,Payables!$E$19:$E$75,"&lt;&gt;Card",Payables!$F$19:$F$75,"Other")</f>
        <v>996.6</v>
      </c>
      <c r="G47" s="121" t="n"/>
      <c r="H47" s="120">
        <f>SUMIFS(Payables!$D$19:$D$75,Payables!$G$19:$G$75,"&gt;="&amp;Assumptions!$B$47,Payables!$G$19:$G$75,"&lt;="&amp;Assumptions!$C$47,Payables!$E$19:$E$75,"&lt;&gt;Card",Payables!$F$19:$F$75,"Other")</f>
        <v>0</v>
      </c>
      <c r="I47" s="121" t="n"/>
      <c r="J47" s="120">
        <f>SUMIFS(Payables!$D$19:$D$75,Payables!$G$19:$G$75,"&gt;="&amp;Assumptions!$B$48,Payables!$G$19:$G$75,"&lt;="&amp;Assumptions!$C$48,Payables!$E$19:$E$75,"&lt;&gt;Card",Payables!$F$19:$F$75,"Other")</f>
        <v>0</v>
      </c>
      <c r="K47" s="121" t="n"/>
      <c r="L47" s="120">
        <f>SUM(B47,D47,F47,H47,J47)</f>
        <v>996.6</v>
      </c>
      <c r="M47" s="120">
        <f>SUM(C47,E47,G47,I47,K47)</f>
        <v>0</v>
      </c>
      <c r="N47" s="120">
        <f>(C47-B47)*C$8+(E47-D47)*E$8+(G47-F47)*G$8+(I47-H47)*I$8+(K47-J47)*K$8</f>
        <v>0</v>
      </c>
      <c r="O47" s="108" t="inlineStr">
        <is>
          <t>Persona Health - on hold until GC confirms.</t>
        </is>
      </c>
    </row>
    <row r="48">
      <c r="A48" s="117" t="inlineStr">
        <is>
          <t xml:space="preserve">Creditors Run </t>
        </is>
      </c>
      <c r="B48" s="120" t="n"/>
      <c r="C48" s="121" t="n">
        <v>77302.53999999999</v>
      </c>
      <c r="D48" s="120" t="n"/>
      <c r="E48" s="121" t="n"/>
      <c r="F48" s="120" t="n"/>
      <c r="G48" s="121" t="n"/>
      <c r="H48" s="120" t="n"/>
      <c r="I48" s="121" t="n"/>
      <c r="J48" s="120" t="n"/>
      <c r="K48" s="121" t="n"/>
      <c r="L48" s="120" t="n"/>
      <c r="M48" s="120" t="n"/>
      <c r="N48" s="120" t="n"/>
      <c r="O48" s="108" t="n"/>
    </row>
    <row r="49">
      <c r="A49" s="9" t="inlineStr">
        <is>
          <t>Subtotal overheads</t>
        </is>
      </c>
      <c r="B49" s="123">
        <f>B35+B36+B37+B38+B39+B40+B41+B42+B43+B44+B45+B46+B47</f>
        <v>15115.6</v>
      </c>
      <c r="C49" s="123">
        <f>C35+C36+C37+C38+C39+C40+C41+C42+C43+C44+C45+C46+C47+C48</f>
        <v>77548.14</v>
      </c>
      <c r="D49" s="123">
        <f>D35+D36+D37+D38+D39+D40+D41+D42+D43+D44+D45+D46+D47</f>
        <v>76396.93</v>
      </c>
      <c r="E49" s="123">
        <f>E35+E36+E37+E38+E39+E40+E41+E42+E43+E44+E45+E46+E47</f>
        <v>1185.1100000000001</v>
      </c>
      <c r="F49" s="123">
        <f>F35+F36+F37+F38+F39+F40+F41+F42+F43+F44+F45+F46+F47</f>
        <v>32898.8</v>
      </c>
      <c r="G49" s="123">
        <f>G35+G36+G37+G38+G39+G40+G41+G42+G43+G44+G45+G46+G47</f>
        <v>0</v>
      </c>
      <c r="H49" s="123">
        <f>H35+H36+H37+H38+H39+H40+H41+H42+H43+H44+H45+H46+H47</f>
        <v>36680.72</v>
      </c>
      <c r="I49" s="123">
        <f>I35+I36+I37+I38+I39+I40+I41+I42+I43+I44+I45+I46+I47</f>
        <v>0</v>
      </c>
      <c r="J49" s="123">
        <f>J35+J36+J37+J38+J39+J40+J41+J42+J43+J44+J45+J46+J47</f>
        <v>16366.2</v>
      </c>
      <c r="K49" s="123">
        <f>K35+K36+K37+K38+K39+K40+K41+K42+K43+K44+K45+K46+K47</f>
        <v>0</v>
      </c>
      <c r="L49" s="123">
        <f>L35+L36+L37+L38+L39+L40+L41+L42+L43+L44+L45+L46+L47</f>
        <v>177458.24999999997</v>
      </c>
      <c r="M49" s="123">
        <f>M35+M36+M37+M38+M39+M40+M41+M42+M43+M44+M45+M46+M47</f>
        <v>1430.71</v>
      </c>
      <c r="N49" s="123">
        <f>N35+N36+N37+N38+N39+N40+N41+N42+N43+N44+N45+N46+N47</f>
        <v>-14870</v>
      </c>
      <c r="O49" s="12" t="n"/>
    </row>
    <row r="51">
      <c r="A51" s="22" t="inlineStr">
        <is>
          <t>Tax</t>
        </is>
      </c>
    </row>
    <row r="52" ht="24" customHeight="1" s="109">
      <c r="A52" s="18" t="inlineStr">
        <is>
          <t xml:space="preserve">   BAS - GST, PAYG withholding &amp; instalment (Q1)</t>
        </is>
      </c>
      <c r="B52" s="120">
        <f>IF(AND(Assumptions!$B$25&gt;=Assumptions!$B$44,Assumptions!$B$25&lt;=Assumptions!$C$44),Assumptions!$B$21*(Assumptions!$B$22+Assumptions!$B$23+Assumptions!$B$24),0)</f>
        <v>0</v>
      </c>
      <c r="C52" s="121" t="n"/>
      <c r="D52" s="120">
        <f>IF(AND(Assumptions!$B$25&gt;=Assumptions!$B$45,Assumptions!$B$25&lt;=Assumptions!$C$45),Assumptions!$B$21*(Assumptions!$B$22+Assumptions!$B$23+Assumptions!$B$24),0)</f>
        <v>0</v>
      </c>
      <c r="E52" s="121" t="n">
        <v>0</v>
      </c>
      <c r="F52" s="120">
        <f>IF(AND(Assumptions!$B$25&gt;=Assumptions!$B$46,Assumptions!$B$25&lt;=Assumptions!$C$46),Assumptions!$B$21*(Assumptions!$B$22+Assumptions!$B$23+Assumptions!$B$24),0)</f>
        <v>0</v>
      </c>
      <c r="G52" s="121" t="n"/>
      <c r="H52" s="120">
        <f>IF(AND(Assumptions!$B$25&gt;=Assumptions!$B$47,Assumptions!$B$25&lt;=Assumptions!$C$47),Assumptions!$B$21*(Assumptions!$B$22+Assumptions!$B$23+Assumptions!$B$24),0)</f>
        <v>100358.38399999999</v>
      </c>
      <c r="I52" s="121" t="n"/>
      <c r="J52" s="120">
        <f>IF(AND(Assumptions!$B$25&gt;=Assumptions!$B$48,Assumptions!$B$25&lt;=Assumptions!$C$48),Assumptions!$B$21*(Assumptions!$B$22+Assumptions!$B$23+Assumptions!$B$24),0)</f>
        <v>0</v>
      </c>
      <c r="K52" s="121" t="n"/>
      <c r="L52" s="120">
        <f>SUM(B52,D52,F52,H52,J52)</f>
        <v>100358.38399999999</v>
      </c>
      <c r="M52" s="120">
        <f>SUM(C52,E52,G52,I52,K52)</f>
        <v>0</v>
      </c>
      <c r="N52" s="120">
        <f>(C52-B52)*C$8+(E52-D52)*E$8+(G52-F52)*G$8+(I52-H52)*I$8+(K52-J52)*K$8</f>
        <v>0</v>
      </c>
      <c r="O52" s="108" t="str">
        <f>"Q1 BAS est. "&amp;TEXT(Assumptions!$B$22+Assumptions!$B$23+Assumptions!$B$24,"$#,##0")&amp;" (Sep PAYG "&amp;TEXT(Assumptions!$B$22,"$#,##0")&amp;" + GST est "&amp;TEXT(Assumptions!$B$23,"$#,##0")&amp;" + instalment "&amp;TEXT(Assumptions!$B$24,"$#,##0")&amp;"), due "&amp;TEXT(Assumptions!$B$25,"d mmm")&amp;". Toggle on Assumptions = "&amp;Assumptions!$B$21&amp;" (1 = in the forecast)."</f>
        <v>Q1 BAS est. $100,358 (Sep PAYG $50,358 + GST est $50,000 + instalment $0,), due 28 Oct. Toggle on Assumptions = 1 (1 = in the forecast).</v>
      </c>
    </row>
    <row r="53">
      <c r="A53" s="9" t="inlineStr">
        <is>
          <t>Subtotal tax</t>
        </is>
      </c>
      <c r="B53" s="123">
        <f>B52</f>
        <v>0</v>
      </c>
      <c r="C53" s="123">
        <f>C52</f>
        <v>0</v>
      </c>
      <c r="D53" s="123">
        <f>D52</f>
        <v>0</v>
      </c>
      <c r="E53" s="123">
        <f>E52</f>
        <v>0</v>
      </c>
      <c r="F53" s="123">
        <f>F52</f>
        <v>0</v>
      </c>
      <c r="G53" s="123">
        <f>G52</f>
        <v>0</v>
      </c>
      <c r="H53" s="123">
        <f>H52</f>
        <v>100358.38399999999</v>
      </c>
      <c r="I53" s="123">
        <f>I52</f>
        <v>0</v>
      </c>
      <c r="J53" s="123">
        <f>J52</f>
        <v>0</v>
      </c>
      <c r="K53" s="123">
        <f>K52</f>
        <v>0</v>
      </c>
      <c r="L53" s="123">
        <f>L52</f>
        <v>100358.38399999999</v>
      </c>
      <c r="M53" s="123">
        <f>M52</f>
        <v>0</v>
      </c>
      <c r="N53" s="123">
        <f>N52</f>
        <v>0</v>
      </c>
      <c r="O53" s="12" t="n"/>
    </row>
    <row r="55">
      <c r="A55" s="13" t="inlineStr">
        <is>
          <t>TOTAL OPERATING EXPENSES</t>
        </is>
      </c>
      <c r="B55" s="122">
        <f>B24+B32+B49+B53</f>
        <v>213633.83</v>
      </c>
      <c r="C55" s="122">
        <f>C24+C32+C49+C53</f>
        <v>216634.37</v>
      </c>
      <c r="D55" s="122">
        <f>D24+D32+D49+D53</f>
        <v>240109.99</v>
      </c>
      <c r="E55" s="122">
        <f>E24+E32+E49+E53</f>
        <v>119062.06999999999</v>
      </c>
      <c r="F55" s="122">
        <f>F24+F32+F49+F66</f>
        <v>60002.060000000005</v>
      </c>
      <c r="G55" s="122">
        <f>G24+G32+G49+G53</f>
        <v>0</v>
      </c>
      <c r="H55" s="122">
        <f>H24+H32+H49+H53</f>
        <v>277592.534</v>
      </c>
      <c r="I55" s="122">
        <f>I24+I32+I49+I53</f>
        <v>0</v>
      </c>
      <c r="J55" s="122">
        <f>J24+J32+J49+J53</f>
        <v>52650.92</v>
      </c>
      <c r="K55" s="122">
        <f>K24+K32+K49+K53</f>
        <v>0</v>
      </c>
      <c r="L55" s="122">
        <f>L24+L32+L49+L53</f>
        <v>843989.3339999999</v>
      </c>
      <c r="M55" s="122">
        <f>M24+M32+M49+M53</f>
        <v>258393.89999999997</v>
      </c>
      <c r="N55" s="122">
        <f>N24+N32+N49+N53</f>
        <v>-74301.99999999999</v>
      </c>
      <c r="O55" s="16" t="n"/>
    </row>
    <row r="57">
      <c r="A57" s="13" t="inlineStr">
        <is>
          <t>NET CASH FLOW</t>
        </is>
      </c>
      <c r="B57" s="122">
        <f>B15-B55</f>
        <v>-79042.91</v>
      </c>
      <c r="C57" s="122">
        <f>C15-C55</f>
        <v>-76458.76999999999</v>
      </c>
      <c r="D57" s="122">
        <f>D15-D55</f>
        <v>-97413.72</v>
      </c>
      <c r="E57" s="122">
        <f>E15-E55</f>
        <v>24140.200000000026</v>
      </c>
      <c r="F57" s="122">
        <f>F15-F68</f>
        <v>234604.28666666668</v>
      </c>
      <c r="G57" s="122">
        <f>G15-G55</f>
        <v>0</v>
      </c>
      <c r="H57" s="122">
        <f>H15-H55</f>
        <v>-264966.0673333333</v>
      </c>
      <c r="I57" s="122">
        <f>I15-I55</f>
        <v>0</v>
      </c>
      <c r="J57" s="122">
        <f>J15-J55</f>
        <v>39819.21666666666</v>
      </c>
      <c r="K57" s="122">
        <f>K15-K55</f>
        <v>0</v>
      </c>
      <c r="L57" s="122">
        <f>L15-L55</f>
        <v>-227001.25400000007</v>
      </c>
      <c r="M57" s="122">
        <f>M15-M55</f>
        <v>24983.97000000003</v>
      </c>
      <c r="N57" s="122">
        <f>N15-N55</f>
        <v>79886.68</v>
      </c>
      <c r="O57" s="16" t="n"/>
    </row>
    <row r="58" ht="24" customHeight="1" s="109">
      <c r="A58" s="24" t="inlineStr">
        <is>
          <t>CLOSING BANK BALANCE</t>
        </is>
      </c>
      <c r="B58" s="125">
        <f>B10+B57</f>
        <v>356112.08999999997</v>
      </c>
      <c r="C58" s="125">
        <f>C10+C57</f>
        <v>358696.23</v>
      </c>
      <c r="D58" s="125">
        <f>D10+D57</f>
        <v>261282.50999999998</v>
      </c>
      <c r="E58" s="125" t="str">
        <f>IF(E$8=1,E10+E57,"")</f>
        <v/>
      </c>
      <c r="F58" s="125">
        <f>F10+F57</f>
        <v>495886.79666666663</v>
      </c>
      <c r="G58" s="125" t="str">
        <f>IF(G$8=1,G10+G57,"")</f>
        <v/>
      </c>
      <c r="H58" s="125">
        <f>H10+H57</f>
        <v>230920.72933333332</v>
      </c>
      <c r="I58" s="125" t="str">
        <f>IF(I$8=1,I10+I57,"")</f>
        <v/>
      </c>
      <c r="J58" s="125">
        <f>J10+J57</f>
        <v>270739.946</v>
      </c>
      <c r="K58" s="125" t="str">
        <f>IF(K$8=1,K10+K57,"")</f>
        <v/>
      </c>
      <c r="L58" s="125">
        <f>J58</f>
        <v>270739.946</v>
      </c>
      <c r="M58" s="125">
        <f>IF(K$8=1,K58,IF(I$8=1,I58,IF(G$8=1,G58,IF(E$8=1,E58,IF(C$8=1,C58,"")))))</f>
        <v>358696.23</v>
      </c>
      <c r="N58" s="26" t="n"/>
      <c r="O58" s="78" t="inlineStr">
        <is>
          <t>Opening + net. The Actual column fills in once the week's flag is 1, and the total column shows the latest completed week.</t>
        </is>
      </c>
    </row>
    <row r="59">
      <c r="A59" s="9" t="inlineStr">
        <is>
          <t>Actual bank balance per CommBiz (enter)</t>
        </is>
      </c>
      <c r="B59" s="10" t="n"/>
      <c r="C59" s="121">
        <f>88266.06+270430.17</f>
        <v>358696.23</v>
      </c>
      <c r="D59" s="10" t="n"/>
      <c r="E59" s="121" t="n"/>
      <c r="F59" s="10" t="n"/>
      <c r="G59" s="121" t="n"/>
      <c r="H59" s="10" t="n"/>
      <c r="I59" s="121" t="n"/>
      <c r="J59" s="10" t="n"/>
      <c r="K59" s="121" t="n"/>
      <c r="L59" s="12" t="n"/>
      <c r="M59" s="12" t="n"/>
      <c r="N59" s="12" t="n"/>
      <c r="O59" s="79" t="inlineStr">
        <is>
          <t>Type the real closing balance (cheque + savings) in at the end of each week. Week 2 - key it Wed 14 Oct, then set the flag to 1.</t>
        </is>
      </c>
    </row>
    <row r="60">
      <c r="A60" s="9" t="inlineStr">
        <is>
          <t>Unexplained difference (actual closing less bank)</t>
        </is>
      </c>
      <c r="B60" s="10" t="n"/>
      <c r="C60" s="126">
        <f>C58-C59</f>
        <v>0</v>
      </c>
      <c r="D60" s="10" t="n"/>
      <c r="E60" s="126" t="str">
        <f>IF(E$8=1,E58-E59,"")</f>
        <v/>
      </c>
      <c r="F60" s="10" t="n"/>
      <c r="G60" s="126" t="str">
        <f>IF(G$8=1,G58-G59,"")</f>
        <v/>
      </c>
      <c r="H60" s="10" t="n"/>
      <c r="I60" s="126" t="str">
        <f>IF(I$8=1,I58-I59,"")</f>
        <v/>
      </c>
      <c r="J60" s="10" t="n"/>
      <c r="K60" s="126" t="str">
        <f>IF(K$8=1,K58-K59,"")</f>
        <v/>
      </c>
      <c r="L60" s="12" t="n"/>
      <c r="M60" s="12" t="n"/>
      <c r="N60" s="12" t="n"/>
      <c r="O60" s="76" t="inlineStr">
        <is>
          <t xml:space="preserve">Should be nil once everything's in. this is a sense check </t>
        </is>
      </c>
    </row>
    <row r="62">
      <c r="A62" s="7" t="inlineStr">
        <is>
          <t>MEMO</t>
        </is>
      </c>
      <c r="B62" s="114" t="n"/>
      <c r="C62" s="114" t="n"/>
      <c r="D62" s="114" t="n"/>
      <c r="E62" s="114" t="n"/>
      <c r="F62" s="114" t="n"/>
      <c r="G62" s="114" t="n"/>
      <c r="H62" s="114" t="n"/>
      <c r="I62" s="114" t="n"/>
      <c r="J62" s="114" t="n"/>
      <c r="K62" s="114" t="n"/>
      <c r="L62" s="114" t="n"/>
      <c r="M62" s="114" t="n"/>
      <c r="N62" s="114" t="n"/>
      <c r="O62" s="114" t="n"/>
    </row>
    <row r="63">
      <c r="A63" s="18" t="inlineStr">
        <is>
          <t xml:space="preserve">   Cash needed in the cheque account on pay day (net + super + reimb.)</t>
        </is>
      </c>
      <c r="B63" s="120">
        <f>B19+B20+B23</f>
        <v>0</v>
      </c>
      <c r="D63" s="120">
        <f>D19+D20+D23</f>
        <v>99568</v>
      </c>
      <c r="F63" s="120">
        <f>F19+F20+F23</f>
        <v>0</v>
      </c>
      <c r="H63" s="120">
        <f>H19+H20+H23</f>
        <v>99568</v>
      </c>
      <c r="J63" s="120">
        <f>J19+J20+J23</f>
        <v>0</v>
      </c>
      <c r="O63" s="108" t="n"/>
    </row>
    <row r="64">
      <c r="A64" s="18" t="inlineStr">
        <is>
          <t xml:space="preserve">   Closing balance as weeks of payroll cover</t>
        </is>
      </c>
      <c r="B64" s="127">
        <f>IF(Payroll!$I$5=0,0,B58/(Payroll!$I$5/2))</f>
        <v>7.153143379399003</v>
      </c>
      <c r="D64" s="127">
        <f>IF(Payroll!$I$5=0,0,D58/(Payroll!$I$5/2))</f>
        <v>5.248322955166318</v>
      </c>
      <c r="F64" s="127">
        <f>IF(Payroll!$I$5=0,0,F58/(Payroll!$I$5/2))</f>
        <v>9.960766444373023</v>
      </c>
      <c r="H64" s="127">
        <f>IF(Payroll!$I$5=0,0,H58/(Payroll!$I$5/2))</f>
        <v>4.638452702340778</v>
      </c>
      <c r="J64" s="127">
        <f>IF(Payroll!$I$5=0,0,J58/(Payroll!$I$5/2))</f>
        <v>5.438292342921421</v>
      </c>
      <c r="O64" s="108" t="n"/>
    </row>
    <row r="65">
      <c r="A65" s="18" t="inlineStr">
        <is>
          <t xml:space="preserve">   Receipts expected after 1 Nov (not in this forecast)</t>
        </is>
      </c>
      <c r="L65" s="120">
        <f>SUMIFS(Receivables!$F$5:$F$65,Receivables!$H$5:$H$65,"&gt;"&amp;Assumptions!$C$48)</f>
        <v>264323.60000000003</v>
      </c>
      <c r="O65" s="80" t="inlineStr">
        <is>
          <t>PwC Sep contract invoices, Meet Magic, Property NSW.</t>
        </is>
      </c>
    </row>
    <row r="66">
      <c r="A66" s="18" t="inlineStr">
        <is>
          <t xml:space="preserve">   Payments held past 1 Nov (not in this forecast)</t>
        </is>
      </c>
      <c r="L66" s="120">
        <f>SUMIFS(Payables!$D$19:$D$75,Payables!$E$19:$E$75,"&lt;&gt;Card",Payables!$G$19:$G$75,"&gt;"&amp;Assumptions!$C$48)</f>
        <v>30084.780000000002</v>
      </c>
      <c r="O66" s="108" t="inlineStr">
        <is>
          <t>Oct rent, Oct mobiles. (Complete AV labour was released and paid 8 Oct, so nothing held now.)</t>
        </is>
      </c>
    </row>
    <row r="68">
      <c r="A68" s="7" t="inlineStr">
        <is>
          <t>KEY RISKS &amp; THINGS TO CONFIRM</t>
        </is>
      </c>
      <c r="B68" s="114" t="n"/>
      <c r="C68" s="114" t="n"/>
      <c r="D68" s="114" t="n"/>
      <c r="E68" s="114" t="n"/>
      <c r="F68" s="114" t="n"/>
      <c r="G68" s="114" t="n"/>
      <c r="H68" s="114" t="n"/>
      <c r="I68" s="114" t="n"/>
      <c r="J68" s="114" t="n"/>
      <c r="K68" s="114" t="n"/>
      <c r="L68" s="114" t="n"/>
      <c r="M68" s="114" t="n"/>
      <c r="N68" s="114" t="n"/>
      <c r="O68" s="114" t="n"/>
    </row>
    <row r="69" ht="15.75" customHeight="1" s="109">
      <c r="A69" s="110" t="inlineStr">
        <is>
          <t>1. Aware Super $225,887 (INV-10596) is the big one - still not paid at 12 Oct and now expected 9 Nov, after this forecast. The whole Complete AV bill ($178,119) is now paid ahead of it (materials 29 Sep, labour 8 Oct), so we watch the cheque account until Aware pay. Build-up on the Complete AV tab.</t>
        </is>
      </c>
    </row>
    <row r="70" ht="15.75" customHeight="1" s="109">
      <c r="A70" s="110" t="inlineStr">
        <is>
          <t>2. Complete AV labour and programming ($39,033 inc GST) was released and paid 8 Oct, so INV41565 is fully paid. The $5,334 balance of the quote is still to be invoiced (claim 3). Jordan thinks they may push for programming or sub-trade costs - if we agree to any, add them on the Payables tab.</t>
        </is>
      </c>
    </row>
    <row r="71" ht="15.75" customHeight="1" s="109">
      <c r="A71" s="110" t="inlineStr">
        <is>
          <t>3. Ventia's $58,025 landed 29 Sep. Still chasing their other three ($36,677), Downer ($39,664 - both overdue), Gen-e, Microsoft and ON24 - all a month or more old. Chase this week.</t>
        </is>
      </c>
    </row>
    <row r="72" ht="15.75" customHeight="1" s="109">
      <c r="A72" s="110" t="inlineStr">
        <is>
          <t>4. BAS - Sep quarter (Sep PAYG ~$50k + GST est ~$50k + any instalment) is due 28 Oct as we lodge it ourselves - it's in week 4. Swap the GST estimate for the activity statement figure once it's run.</t>
        </is>
      </c>
    </row>
  </sheetData>
  <mergeCells count="16">
    <mergeCell ref="A69:O69"/>
    <mergeCell ref="D6:E6"/>
    <mergeCell ref="B6:C6"/>
    <mergeCell ref="H6:I6"/>
    <mergeCell ref="A72:O72"/>
    <mergeCell ref="J5:K5"/>
    <mergeCell ref="J6:K6"/>
    <mergeCell ref="B5:C5"/>
    <mergeCell ref="A71:O71"/>
    <mergeCell ref="F5:G5"/>
    <mergeCell ref="D5:E5"/>
    <mergeCell ref="H5:I5"/>
    <mergeCell ref="F6:G6"/>
    <mergeCell ref="L5:M5"/>
    <mergeCell ref="A70:O70"/>
    <mergeCell ref="A3:O3"/>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topLeftCell="A6" workbookViewId="0">
      <selection activeCell="A1" sqref="A1"/>
    </sheetView>
  </sheetViews>
  <sheetFormatPr baseColWidth="8" defaultRowHeight="15"/>
  <cols>
    <col width="54" customWidth="1" style="109" min="1" max="1"/>
    <col width="16" customWidth="1" style="109" min="2" max="2"/>
    <col width="100" customWidth="1" style="109" min="3" max="3"/>
  </cols>
  <sheetData>
    <row r="1" ht="18" customHeight="1" s="109">
      <c r="A1" s="1" t="inlineStr">
        <is>
          <t>CTS Cash Flow Forecast - Assumptions &amp; Inputs</t>
        </is>
      </c>
    </row>
    <row r="2">
      <c r="A2" s="29" t="inlineStr">
        <is>
          <t>Blue = change it if you need to. Black = formula, leave it alone. Bright yellow = the ones I still want to double check. Everything is GST inclusive because that's what actually hits the bank.</t>
        </is>
      </c>
    </row>
    <row r="4">
      <c r="A4" s="7" t="inlineStr">
        <is>
          <t>TIMING &amp; OPENING POSITION</t>
        </is>
      </c>
      <c r="B4" s="114" t="n"/>
      <c r="C4" s="114" t="n"/>
    </row>
    <row r="5" ht="24" customHeight="1" s="109">
      <c r="A5" s="18" t="inlineStr">
        <is>
          <t>Forecast start (Monday of this week)</t>
        </is>
      </c>
      <c r="B5" s="128" t="n">
        <v>46293</v>
      </c>
      <c r="C5" s="115" t="inlineStr">
        <is>
          <t>Mon 28 Sep. Week 1 runs through to Wed 7 Oct so it picks up payroll tax on the 7th, then it's weekly from there (Thu to Wed). Week table is at the bottom of this tab.</t>
        </is>
      </c>
    </row>
    <row r="6" ht="24" customHeight="1" s="109">
      <c r="A6" s="18" t="inlineStr">
        <is>
          <t>Opening bank balance - cheque + savings</t>
        </is>
      </c>
      <c r="B6" s="129">
        <f>25155+410000</f>
        <v>435155</v>
      </c>
      <c r="C6" s="115" t="inlineStr">
        <is>
          <t>Cheque $25,155 + savings $410,000 at 28 Sep. Not counting the other accounts - they're not there for day to day. Payroll comes out of cheque, topped up from savings, so check the cheque balance before every pay run.</t>
        </is>
      </c>
    </row>
    <row r="7">
      <c r="A7" s="18" t="inlineStr">
        <is>
          <t>Number of weeks</t>
        </is>
      </c>
      <c r="B7" s="33" t="n">
        <v>5</v>
      </c>
      <c r="C7" s="115" t="inlineStr">
        <is>
          <t>Each week has a Forecast and an Actual column on the Cash Flow tab.</t>
        </is>
      </c>
    </row>
    <row r="8">
      <c r="A8" s="7" t="inlineStr">
        <is>
          <t>PAYROLL (fortnightly, Sat to Fri, paid the Tuesday after the fortnight ends)</t>
        </is>
      </c>
      <c r="B8" s="114" t="n"/>
      <c r="C8" s="114" t="n"/>
    </row>
    <row r="9" ht="24" customHeight="1" s="109">
      <c r="A9" s="18" t="inlineStr">
        <is>
          <t>Gross wages per fortnight</t>
        </is>
      </c>
      <c r="B9" s="130" t="n">
        <v>111000</v>
      </c>
      <c r="C9" s="115" t="inlineStr">
        <is>
          <t>Average of the last three runs we know: 11 Aug $108,325, 25 Aug $115,340 (GL journals #69396, #69669) and the two Sep runs $217,062 between them (Xero cash P&amp;L to 28 Sep). Detail on the Payroll tab.</t>
        </is>
      </c>
    </row>
    <row r="10">
      <c r="A10" s="18" t="inlineStr">
        <is>
          <t>Net pay as % of gross</t>
        </is>
      </c>
      <c r="B10" s="131" t="n">
        <v>0.768</v>
      </c>
      <c r="C10" s="115" t="inlineStr">
        <is>
          <t>25 Aug run - gross $115.3k, ABA file $88.5k = 76.8% (Part 6 video, 03:16-04:12). The gap is PAYG and sal sac.</t>
        </is>
      </c>
    </row>
    <row r="11">
      <c r="A11" s="18" t="inlineStr">
        <is>
          <t>PAYG withheld as % of gross</t>
        </is>
      </c>
      <c r="B11" s="132">
        <f>1-B10</f>
        <v>0.23199999999999998</v>
      </c>
      <c r="C11" s="115" t="inlineStr">
        <is>
          <t>1 less net %. Goes to the ATO with the IAS/BAS, not on pay day.</t>
        </is>
      </c>
    </row>
    <row r="12" ht="24" customHeight="1" s="109">
      <c r="A12" s="18" t="inlineStr">
        <is>
          <t>Superannuation as % of gross</t>
        </is>
      </c>
      <c r="B12" s="131" t="n">
        <v>0.12</v>
      </c>
      <c r="C12" s="115" t="inlineStr">
        <is>
          <t>SG is 12%. 25 Aug: $13,677 SG on $115,340 gross. Sal sac super (~$1k a run) goes out in the same super batch but comes off gross, so it's not added on here.</t>
        </is>
      </c>
    </row>
    <row r="13" ht="24" customHeight="1" s="109">
      <c r="A13" s="18" t="inlineStr">
        <is>
          <t>Employee reimbursements per pay run (expense claims)</t>
        </is>
      </c>
      <c r="B13" s="133" t="n">
        <v>1000</v>
      </c>
      <c r="C13" s="115" t="inlineStr">
        <is>
          <t>Placeholder - I can't see expense claims in Xero. Per diems ($75 a night) go through payroll so they're already in net pay. Put the usual expense claim amount in here.</t>
        </is>
      </c>
    </row>
    <row r="14" ht="24" customHeight="1" s="109">
      <c r="A14" s="18" t="inlineStr">
        <is>
          <t>Pay date - run 1 (fortnight Sat 26 Sep to Fri 9 Oct)</t>
        </is>
      </c>
      <c r="B14" s="128" t="n">
        <v>46308</v>
      </c>
      <c r="C14" s="115" t="inlineStr">
        <is>
          <t>Fortnight is Sat 26 Sep to Fri 9 Oct. Processed Mon 12 Oct, out of the bank Tue 13 Oct (week 2). Xero has the pay run journal dated 8-9 Oct for $101,246 gross - that is the journal date, the money goes on the Tuesday. Super direct debits the same week - payday super since 1 Jul 26.</t>
        </is>
      </c>
    </row>
    <row r="15">
      <c r="A15" s="18" t="inlineStr">
        <is>
          <t>Pay date - run 2 (fortnight Sat 10 Oct to Fri 23 Oct)</t>
        </is>
      </c>
      <c r="B15" s="128" t="n">
        <v>46322</v>
      </c>
      <c r="C15" s="115" t="inlineStr">
        <is>
          <t>Tue 27 Oct (week 4).</t>
        </is>
      </c>
    </row>
    <row r="16">
      <c r="A16" s="18" t="inlineStr">
        <is>
          <t>Pay date - run 3 (fortnight Sat 24 Oct to Fri 6 Nov)</t>
        </is>
      </c>
      <c r="B16" s="128" t="n">
        <v>46336</v>
      </c>
      <c r="C16" s="115" t="inlineStr">
        <is>
          <t>Tue 10 Nov - after week 5 (ends Wed 4 Nov), so it does not hit this forecast. Only two pay runs land in October now.</t>
        </is>
      </c>
    </row>
    <row r="17" ht="24" customHeight="1" s="109">
      <c r="A17" s="18" t="inlineStr">
        <is>
          <t>Payroll tax NSW - September return (due 7 Oct)</t>
        </is>
      </c>
      <c r="B17" s="133" t="n">
        <v>6295</v>
      </c>
      <c r="C17" s="115" t="inlineStr">
        <is>
          <t>Sep return isn't lodged yet so I've used Aug: $6,120.40 + $174.67 (GL #69671, #70351). Due the 7th of the following month. Update once it's lodged.</t>
        </is>
      </c>
    </row>
    <row r="18">
      <c r="A18" s="18" t="inlineStr">
        <is>
          <t>Payroll tax other states (ACT/QLD/SA/VIC/WA) - Sep (due 7 Oct)</t>
        </is>
      </c>
      <c r="B18" s="133" t="n">
        <v>2700</v>
      </c>
      <c r="C18" s="115" t="inlineStr">
        <is>
          <t>Aug actual $2,700 (GL #69670), July was $3,000. All due on the 7th too.</t>
        </is>
      </c>
    </row>
    <row r="19">
      <c r="A19" s="18" t="inlineStr">
        <is>
          <t>Payroll tax payment date</t>
        </is>
      </c>
      <c r="B19" s="128" t="n">
        <v>46302</v>
      </c>
      <c r="C19" s="115" t="inlineStr">
        <is>
          <t>Wed 7 Oct.</t>
        </is>
      </c>
    </row>
    <row r="20">
      <c r="A20" s="7" t="inlineStr">
        <is>
          <t>BAS / PAYG WITHHOLDING</t>
        </is>
      </c>
      <c r="B20" s="114" t="n"/>
      <c r="C20" s="114" t="n"/>
    </row>
    <row r="21">
      <c r="A21" s="18" t="inlineStr">
        <is>
          <t>Q1 BAS paid inside this forecast? (1 = yes, 0 = no)</t>
        </is>
      </c>
      <c r="B21" s="38" t="n">
        <v>1</v>
      </c>
      <c r="C21" s="115" t="inlineStr">
        <is>
          <t>1 = we lodge it ourselves and pay 28 Oct (week 4). 0 = through the agent, 25 Nov, outside the forecast.</t>
        </is>
      </c>
    </row>
    <row r="22">
      <c r="A22" s="18" t="inlineStr">
        <is>
          <t>Sep PAYG withholding (goes on the Q1 BAS)</t>
        </is>
      </c>
      <c r="B22" s="120">
        <f>B11*217062</f>
        <v>50358.384</v>
      </c>
      <c r="C22" s="115" t="inlineStr">
        <is>
          <t>PAYG % x Sep gross $217,062 (Xero cash P&amp;L). Jul and Aug went on the IAS (21 Aug, 21 Sep) so nothing falls in Oct.</t>
        </is>
      </c>
    </row>
    <row r="23">
      <c r="A23" s="18" t="inlineStr">
        <is>
          <t>Net GST payable for Sep quarter - ESTIMATE</t>
        </is>
      </c>
      <c r="B23" s="133" t="n">
        <v>50000</v>
      </c>
      <c r="C23" s="115" t="inlineStr">
        <is>
          <t>Rough guess - GST on ~$1.5m in, less GST on ~$1.0m out. Replace with the activity statement figure from Xero.</t>
        </is>
      </c>
    </row>
    <row r="24">
      <c r="A24" s="18" t="inlineStr">
        <is>
          <t>PAYG income-tax instalment for Sep quarter</t>
        </is>
      </c>
      <c r="B24" s="130" t="n">
        <v>0</v>
      </c>
      <c r="C24" s="115" t="inlineStr">
        <is>
          <t>Can't see this in Xero. Put the ATO instalment in here if there is one.</t>
        </is>
      </c>
    </row>
    <row r="25">
      <c r="A25" s="18" t="inlineStr">
        <is>
          <t>BAS payment date if paid in October</t>
        </is>
      </c>
      <c r="B25" s="128" t="n">
        <v>46323</v>
      </c>
      <c r="C25" s="115" t="inlineStr">
        <is>
          <t>28 Oct as we lodge it ourselves.</t>
        </is>
      </c>
    </row>
    <row r="26">
      <c r="A26" s="7" t="inlineStr">
        <is>
          <t>COSTS NOT BILLED YET - MONTHLY ESTIMATES (spread over the 5 weeks)</t>
        </is>
      </c>
      <c r="B26" s="114" t="n"/>
      <c r="C26" s="114" t="n"/>
    </row>
    <row r="27">
      <c r="A27" s="18" t="inlineStr">
        <is>
          <t>Sub-contract labour</t>
        </is>
      </c>
      <c r="B27" s="133" t="n">
        <v>40000</v>
      </c>
      <c r="C27" s="115" t="inlineStr">
        <is>
          <t>Sep cash P&amp;L: Integration $31,990 + PRD $7,154. Oct work that gets billed and paid inside the month.</t>
        </is>
      </c>
    </row>
    <row r="28">
      <c r="A28" s="18" t="inlineStr">
        <is>
          <t>Equipment &amp; service hires</t>
        </is>
      </c>
      <c r="B28" s="133" t="n">
        <v>30000</v>
      </c>
      <c r="C28" s="115" t="inlineStr">
        <is>
          <t>Sep cash P&amp;L: service hires $17,344 + equipment hires $11,427.</t>
        </is>
      </c>
    </row>
    <row r="29" ht="24" customHeight="1" s="109">
      <c r="A29" s="18" t="inlineStr">
        <is>
          <t>Project equipment purchases (not yet billed)</t>
        </is>
      </c>
      <c r="B29" s="133" t="n">
        <v>20000</v>
      </c>
      <c r="C29" s="115" t="inlineStr">
        <is>
          <t>On top of the Complete AV / Crestron / Fredon bills already listed. Oct is a big Production month in the budget ($587k income) so this could easily be higher.</t>
        </is>
      </c>
    </row>
    <row r="30">
      <c r="A30" s="18" t="inlineStr">
        <is>
          <t>Direct travel &amp; freight (client jobs)</t>
        </is>
      </c>
      <c r="B30" s="130" t="n">
        <v>7000</v>
      </c>
      <c r="C30" s="115" t="inlineStr">
        <is>
          <t>Sep: ONS travel $4,120 + PRD $1,572 + ~$1,300 freight.</t>
        </is>
      </c>
    </row>
    <row r="31">
      <c r="A31" s="18" t="inlineStr">
        <is>
          <t>Client subscriptions &amp; licences (not yet billed)</t>
        </is>
      </c>
      <c r="B31" s="130" t="n">
        <v>3000</v>
      </c>
      <c r="C31" s="115" t="inlineStr">
        <is>
          <t>Sep: $3,573 outside the Appspace / Spacera / Eptura bills.</t>
        </is>
      </c>
    </row>
    <row r="32">
      <c r="A32" s="18" t="inlineStr">
        <is>
          <t>Recruitment (Seek, LinkedIn, agency)</t>
        </is>
      </c>
      <c r="B32" s="130" t="n">
        <v>5000</v>
      </c>
      <c r="C32" s="115" t="inlineStr">
        <is>
          <t>Sep was $11,742 with the casual concierge campaign. I've assumed half that.</t>
        </is>
      </c>
    </row>
    <row r="33">
      <c r="A33" s="18" t="inlineStr">
        <is>
          <t>Accounting, legal &amp; advisory (beyond the 8020 retainer)</t>
        </is>
      </c>
      <c r="B33" s="130" t="n">
        <v>4000</v>
      </c>
      <c r="C33" s="115" t="inlineStr">
        <is>
          <t>Jun-Aug: accounting $7,733 + legal $2,900 over 3 months.</t>
        </is>
      </c>
    </row>
    <row r="34">
      <c r="A34" s="18" t="inlineStr">
        <is>
          <t>Insurance</t>
        </is>
      </c>
      <c r="B34" s="130" t="n">
        <v>0</v>
      </c>
      <c r="C34" s="115" t="inlineStr">
        <is>
          <t>Was $3k a month as an estimate. The annual Brookvale renewals ($66,239, due 14 Oct) are now on the Payables tab under Insurance, so this is nil - put a number back in if something else comes up (icare, Asteron is quarterly and was paid 25 Sep).</t>
        </is>
      </c>
    </row>
    <row r="35">
      <c r="A35" s="18" t="inlineStr">
        <is>
          <t>Office, amenities &amp; entertainment</t>
        </is>
      </c>
      <c r="B35" s="130" t="n">
        <v>2000</v>
      </c>
      <c r="C35" s="115" t="inlineStr">
        <is>
          <t>Jun-Aug ran ~$4k a month across amenities, supplies and staff entertainment. Sep was lower.</t>
        </is>
      </c>
    </row>
    <row r="36">
      <c r="A36" s="18" t="inlineStr">
        <is>
          <t>Bank &amp; merchant fees</t>
        </is>
      </c>
      <c r="B36" s="130" t="n">
        <v>1000</v>
      </c>
      <c r="C36" s="115" t="inlineStr">
        <is>
          <t>Sep: bank charges $2,311 + Stripe $271, but Sep had a one-off in it.</t>
        </is>
      </c>
    </row>
    <row r="37" ht="24" customHeight="1" s="109">
      <c r="A37" s="18" t="inlineStr">
        <is>
          <t>Credit card settlements per month (PL + DL cards)</t>
        </is>
      </c>
      <c r="B37" s="130" t="n">
        <v>25000</v>
      </c>
      <c r="C37" s="115" t="inlineStr">
        <is>
          <t>Sep transfers to the cards: $15,000 + $4,224.75 (PL) + $5,718.88 (DL) = $24,944. Covers every bill marked paid via CC - those are left out of the Payables totals so nothing gets counted twice.</t>
        </is>
      </c>
    </row>
    <row r="38">
      <c r="A38" s="7" t="inlineStr">
        <is>
          <t>RECEIPTS - ESTIMATES</t>
        </is>
      </c>
      <c r="B38" s="114" t="n"/>
      <c r="C38" s="114" t="n"/>
    </row>
    <row r="39" ht="24" customHeight="1" s="109">
      <c r="A39" s="18" t="inlineStr">
        <is>
          <t>October-dated invoices collected within October</t>
        </is>
      </c>
      <c r="B39" s="130" t="n">
        <v>20000</v>
      </c>
      <c r="C39" s="115" t="inlineStr">
        <is>
          <t>Sep: invoices raised and paid in the same month (Ubank $10,867, RSNSW $3,587, CSIRO $1,971, Garvan, Elkiem, Bankwest event, St Vincent's) came to ~$20k. Spread over weeks 3-5.</t>
        </is>
      </c>
    </row>
    <row r="40">
      <c r="A40" s="18" t="inlineStr">
        <is>
          <t>Interest received on savings</t>
        </is>
      </c>
      <c r="B40" s="130" t="n">
        <v>600</v>
      </c>
      <c r="C40" s="115" t="inlineStr">
        <is>
          <t>Sep was $648.92. Lands at month end.</t>
        </is>
      </c>
    </row>
    <row r="42">
      <c r="A42" s="7" t="inlineStr">
        <is>
          <t>WEEK TABLE (calculated)</t>
        </is>
      </c>
      <c r="B42" s="114" t="n"/>
      <c r="C42" s="114" t="n"/>
    </row>
    <row r="43">
      <c r="A43" s="9" t="inlineStr">
        <is>
          <t>Week</t>
        </is>
      </c>
      <c r="B43" s="9" t="inlineStr">
        <is>
          <t>Start</t>
        </is>
      </c>
      <c r="C43" s="9" t="inlineStr">
        <is>
          <t>End</t>
        </is>
      </c>
    </row>
    <row r="44">
      <c r="A44" s="18" t="n">
        <v>1</v>
      </c>
      <c r="B44" s="134">
        <f>Assumptions!$B$5</f>
        <v>46293</v>
      </c>
      <c r="C44" s="134">
        <f>B44+9</f>
        <v>46302</v>
      </c>
    </row>
    <row r="45">
      <c r="A45" s="18" t="n">
        <v>2</v>
      </c>
      <c r="B45" s="134">
        <f>C44+1</f>
        <v>46303</v>
      </c>
      <c r="C45" s="134">
        <f>B45+6</f>
        <v>46309</v>
      </c>
    </row>
    <row r="46">
      <c r="A46" s="18" t="n">
        <v>3</v>
      </c>
      <c r="B46" s="134">
        <f>C45+1</f>
        <v>46310</v>
      </c>
      <c r="C46" s="134">
        <f>B46+6</f>
        <v>46316</v>
      </c>
    </row>
    <row r="47">
      <c r="A47" s="18" t="n">
        <v>4</v>
      </c>
      <c r="B47" s="134">
        <f>C46+1</f>
        <v>46317</v>
      </c>
      <c r="C47" s="134">
        <f>B47+6</f>
        <v>46323</v>
      </c>
    </row>
    <row r="48">
      <c r="A48" s="18" t="n">
        <v>5</v>
      </c>
      <c r="B48" s="134">
        <f>C47+1</f>
        <v>46324</v>
      </c>
      <c r="C48" s="134">
        <f>B48+6</f>
        <v>46330</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style="109" min="1" max="1"/>
    <col width="16" customWidth="1" style="109" min="2" max="3"/>
    <col width="14" customWidth="1" style="109" min="4" max="8"/>
    <col width="16" customWidth="1" style="109" min="9" max="9"/>
    <col width="60" customWidth="1" style="109" min="10" max="10"/>
  </cols>
  <sheetData>
    <row r="1" ht="18" customHeight="1" s="109">
      <c r="A1" s="1" t="inlineStr">
        <is>
          <t>Payroll schedule - October 2026</t>
        </is>
      </c>
    </row>
    <row r="2">
      <c r="A2" s="29" t="inlineStr">
        <is>
          <t>Fortnightly, Saturday to Friday. The money only goes out of the bank on the Tuesday after the fortnight ends. Super direct debits the same week. PAYG goes later with the IAS/BAS.</t>
        </is>
      </c>
    </row>
    <row r="4" ht="30" customHeight="1" s="109">
      <c r="A4" s="113" t="inlineStr">
        <is>
          <t>Pay run</t>
        </is>
      </c>
      <c r="B4" s="113" t="inlineStr">
        <is>
          <t>Fortnight ending (Fri)</t>
        </is>
      </c>
      <c r="C4" s="113" t="inlineStr">
        <is>
          <t>Pay date</t>
        </is>
      </c>
      <c r="D4" s="113" t="inlineStr">
        <is>
          <t>Gross wages</t>
        </is>
      </c>
      <c r="E4" s="113" t="inlineStr">
        <is>
          <t>Net pay (ABA file)</t>
        </is>
      </c>
      <c r="F4" s="113" t="inlineStr">
        <is>
          <t>PAYG withheld</t>
        </is>
      </c>
      <c r="G4" s="113" t="inlineStr">
        <is>
          <t>Super (direct debit)</t>
        </is>
      </c>
      <c r="H4" s="113" t="inlineStr">
        <is>
          <t>Reimbursements</t>
        </is>
      </c>
      <c r="I4" s="113" t="inlineStr">
        <is>
          <t>Cash out on payday (net + super + reimb.)</t>
        </is>
      </c>
      <c r="J4" s="113" t="inlineStr">
        <is>
          <t>Notes</t>
        </is>
      </c>
    </row>
    <row r="5" ht="48" customHeight="1" s="109">
      <c r="A5" s="18" t="inlineStr">
        <is>
          <t>Run 1 - Sat 26 Sep to Fri 9 Oct</t>
        </is>
      </c>
      <c r="B5" s="128" t="n">
        <v>46304</v>
      </c>
      <c r="C5" s="135">
        <f>Assumptions!$B$14</f>
        <v>46308</v>
      </c>
      <c r="D5" s="136">
        <f>Assumptions!$B$9</f>
        <v>111000</v>
      </c>
      <c r="E5" s="120">
        <f>D5*Assumptions!$B$10</f>
        <v>85248</v>
      </c>
      <c r="F5" s="120">
        <f>D5*Assumptions!$B$11</f>
        <v>25752</v>
      </c>
      <c r="G5" s="120">
        <f>D5*Assumptions!$B$12</f>
        <v>13320</v>
      </c>
      <c r="H5" s="136">
        <f>Assumptions!$B$13</f>
        <v>1000</v>
      </c>
      <c r="I5" s="120">
        <f>E5+G5+H5</f>
        <v>99568</v>
      </c>
      <c r="J5" s="115" t="inlineStr">
        <is>
          <t>Timesheets close Fri 9 Oct, processed Mon 12 Oct - approvals, reconcile, finalise with GC, ABA into CommBiz, payroll email to DL. Move the funds from savings Monday. Out of the bank Tue 13 Oct. Xero journal is dated 8-9 Oct ($101,246 gross, $13,084 super).</t>
        </is>
      </c>
    </row>
    <row r="6" ht="24" customHeight="1" s="109">
      <c r="A6" s="18" t="inlineStr">
        <is>
          <t>Run 2 - Sat 10 Oct to Fri 23 Oct</t>
        </is>
      </c>
      <c r="B6" s="128" t="n">
        <v>46318</v>
      </c>
      <c r="C6" s="135">
        <f>Assumptions!$B$15</f>
        <v>46322</v>
      </c>
      <c r="D6" s="136">
        <f>Assumptions!$B$9</f>
        <v>111000</v>
      </c>
      <c r="E6" s="120">
        <f>D6*Assumptions!$B$10</f>
        <v>85248</v>
      </c>
      <c r="F6" s="120">
        <f>D6*Assumptions!$B$11</f>
        <v>25752</v>
      </c>
      <c r="G6" s="120">
        <f>D6*Assumptions!$B$12</f>
        <v>13320</v>
      </c>
      <c r="H6" s="136">
        <f>Assumptions!$B$13</f>
        <v>1000</v>
      </c>
      <c r="I6" s="120">
        <f>E6+G6+H6</f>
        <v>99568</v>
      </c>
      <c r="J6" s="115" t="inlineStr">
        <is>
          <t>Paid Tue 27 Oct. Last run of the month - accrue bonus leave (Checklist step 48). No cash effect.</t>
        </is>
      </c>
    </row>
    <row r="7">
      <c r="A7" s="18" t="inlineStr">
        <is>
          <t>Run 3 - Sat 24 Oct to Fri 6 Nov</t>
        </is>
      </c>
      <c r="B7" s="128" t="n">
        <v>46332</v>
      </c>
      <c r="C7" s="135">
        <f>Assumptions!$B$16</f>
        <v>46336</v>
      </c>
      <c r="D7" s="136">
        <f>Assumptions!$B$9</f>
        <v>111000</v>
      </c>
      <c r="E7" s="120">
        <f>D7*Assumptions!$B$10</f>
        <v>85248</v>
      </c>
      <c r="F7" s="120">
        <f>D7*Assumptions!$B$11</f>
        <v>25752</v>
      </c>
      <c r="G7" s="120">
        <f>D7*Assumptions!$B$12</f>
        <v>13320</v>
      </c>
      <c r="H7" s="136">
        <f>Assumptions!$B$13</f>
        <v>1000</v>
      </c>
      <c r="I7" s="120">
        <f>E7+G7+H7</f>
        <v>99568</v>
      </c>
      <c r="J7" s="115" t="inlineStr">
        <is>
          <t>Paid Tue 10 Nov - after this forecast, so nothing from it hits the numbers.</t>
        </is>
      </c>
    </row>
    <row r="8">
      <c r="A8" s="13" t="inlineStr">
        <is>
          <t>Total pay runs listed</t>
        </is>
      </c>
      <c r="B8" s="16" t="n"/>
      <c r="C8" s="16" t="n"/>
      <c r="D8" s="119">
        <f>SUM(D5:D7)</f>
        <v>333000</v>
      </c>
      <c r="E8" s="119">
        <f>SUM(E5:E7)</f>
        <v>255744</v>
      </c>
      <c r="F8" s="119">
        <f>SUM(F5:F7)</f>
        <v>77256</v>
      </c>
      <c r="G8" s="119">
        <f>SUM(G5:G7)</f>
        <v>39960</v>
      </c>
      <c r="H8" s="119">
        <f>SUM(H5:H7)</f>
        <v>3000</v>
      </c>
      <c r="I8" s="119">
        <f>SUM(I5:I7)</f>
        <v>298704</v>
      </c>
      <c r="J8" s="16" t="n"/>
    </row>
    <row r="9">
      <c r="A9" s="2" t="inlineStr">
        <is>
          <t>Payroll tax for September wages (paid October)</t>
        </is>
      </c>
    </row>
    <row r="10">
      <c r="A10" s="18" t="inlineStr">
        <is>
          <t>NSW - due 7 Oct</t>
        </is>
      </c>
      <c r="B10" s="136">
        <f>Assumptions!$B$17</f>
        <v>6295</v>
      </c>
      <c r="C10" s="135">
        <f>Assumptions!$B$19</f>
        <v>46302</v>
      </c>
    </row>
    <row r="11">
      <c r="A11" s="18" t="inlineStr">
        <is>
          <t>Other states - due 7 Oct</t>
        </is>
      </c>
      <c r="B11" s="136">
        <f>Assumptions!$B$18</f>
        <v>2700</v>
      </c>
      <c r="C11" s="135">
        <f>Assumptions!$B$19</f>
        <v>46302</v>
      </c>
    </row>
    <row r="12">
      <c r="A12" s="13" t="inlineStr">
        <is>
          <t>Total payroll tax</t>
        </is>
      </c>
      <c r="B12" s="119">
        <f>B10+B11</f>
        <v>8995</v>
      </c>
      <c r="C12" s="16" t="n"/>
    </row>
    <row r="13">
      <c r="A13" s="29" t="inlineStr">
        <is>
          <t>Payroll tax on Oct wages is due 7 Nov - after this forecast.</t>
        </is>
      </c>
    </row>
    <row r="15">
      <c r="A15" s="2" t="inlineStr">
        <is>
          <t>Reference - actual pay runs this financial year</t>
        </is>
      </c>
    </row>
    <row r="16" ht="30" customHeight="1" s="109">
      <c r="A16" s="113" t="inlineStr">
        <is>
          <t>Pay run</t>
        </is>
      </c>
      <c r="B16" s="113" t="inlineStr">
        <is>
          <t>Journal date</t>
        </is>
      </c>
      <c r="C16" s="113" t="inlineStr">
        <is>
          <t>Gross wages</t>
        </is>
      </c>
      <c r="D16" s="113" t="inlineStr">
        <is>
          <t>Super batch (SG + salary sacrifice)</t>
        </is>
      </c>
      <c r="E16" s="113" t="inlineStr">
        <is>
          <t>Batch % of gross</t>
        </is>
      </c>
      <c r="F16" s="113" t="inlineStr">
        <is>
          <t>Source</t>
        </is>
      </c>
    </row>
    <row r="17">
      <c r="A17" s="18" t="inlineStr">
        <is>
          <t>FE 10 Jul</t>
        </is>
      </c>
      <c r="B17" s="128" t="n">
        <v>46217</v>
      </c>
      <c r="C17" s="130" t="n">
        <v>104335.03</v>
      </c>
      <c r="D17" s="130" t="n">
        <v>13289.41</v>
      </c>
      <c r="E17" s="132">
        <f>IF(C17=0,0,D17/C17)</f>
        <v>0.12737246541262318</v>
      </c>
      <c r="F17" s="29" t="inlineStr">
        <is>
          <t>Controller Pack GL_Paste journals #69527 / #69434</t>
        </is>
      </c>
    </row>
    <row r="18">
      <c r="A18" s="18" t="inlineStr">
        <is>
          <t>FE 24 Jul</t>
        </is>
      </c>
      <c r="B18" s="128" t="n">
        <v>46231</v>
      </c>
      <c r="C18" s="130" t="n">
        <v>101030.18</v>
      </c>
      <c r="D18" s="130" t="n">
        <v>13068.87</v>
      </c>
      <c r="E18" s="132">
        <f>IF(C18=0,0,D18/C18)</f>
        <v>0.12935609933586184</v>
      </c>
      <c r="F18" s="29" t="inlineStr">
        <is>
          <t>GL journals #68743 / #68744</t>
        </is>
      </c>
    </row>
    <row r="19">
      <c r="A19" s="18" t="inlineStr">
        <is>
          <t>FE 7 Aug</t>
        </is>
      </c>
      <c r="B19" s="128" t="n">
        <v>46245</v>
      </c>
      <c r="C19" s="130" t="n">
        <v>108324.58</v>
      </c>
      <c r="D19" s="130" t="n">
        <v>13783.25</v>
      </c>
      <c r="E19" s="132">
        <f>IF(C19=0,0,D19/C19)</f>
        <v>0.127240281014706</v>
      </c>
      <c r="F19" s="29" t="inlineStr">
        <is>
          <t>GL journals #69396 / #69397</t>
        </is>
      </c>
    </row>
    <row r="20">
      <c r="A20" s="18" t="inlineStr">
        <is>
          <t>FE 21 Aug</t>
        </is>
      </c>
      <c r="B20" s="128" t="n">
        <v>46259</v>
      </c>
      <c r="C20" s="130" t="n">
        <v>115339.8</v>
      </c>
      <c r="D20" s="130" t="n">
        <v>14677.93</v>
      </c>
      <c r="E20" s="132">
        <f>IF(C20=0,0,D20/C20)</f>
        <v>0.1272581537335768</v>
      </c>
      <c r="F20" s="29" t="inlineStr">
        <is>
          <t>GL journals #69669 / #69663 (the run in the training videos)</t>
        </is>
      </c>
    </row>
    <row r="21">
      <c r="A21" s="18" t="inlineStr">
        <is>
          <t>FE 4 Sep + FE 18 Sep (two runs)</t>
        </is>
      </c>
      <c r="B21" s="128" t="n">
        <v>46287</v>
      </c>
      <c r="C21" s="130" t="n">
        <v>217061.76</v>
      </c>
      <c r="D21" s="130" t="n">
        <v>27815.63</v>
      </c>
      <c r="E21" s="132">
        <f>IF(C21=0,0,D21/C21)</f>
        <v>0.12814615526935744</v>
      </c>
      <c r="F21" s="29" t="inlineStr">
        <is>
          <t>Xero cash P&amp;L 1-28 Sep: all salaries &amp; wages accounts; direct + indirect super</t>
        </is>
      </c>
    </row>
    <row r="22">
      <c r="A22" s="13" t="inlineStr">
        <is>
          <t>Average gross per fortnight (last 4 fortnights)</t>
        </is>
      </c>
      <c r="B22" s="119">
        <f>(C19+C20+C21)/4</f>
        <v>110181.535</v>
      </c>
      <c r="C22" s="29" t="inlineStr">
        <is>
          <t>Aug runs plus the two Sep runs, over four fortnights</t>
        </is>
      </c>
    </row>
    <row r="23">
      <c r="A23" s="29" t="inlineStr">
        <is>
          <t>SG is 12%. The batch % above is higher because the GL super accounts include sal sac super (25 Aug: $13,677 SG + $1,052 sal sac). Forecast uses 12% - the sal sac part comes off gross so it isn't counted twice.</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18" t="inlineStr">
        <is>
          <t>July 2026</t>
        </is>
      </c>
      <c r="B27" s="130" t="n">
        <v>5170.8</v>
      </c>
      <c r="C27" s="130" t="n">
        <v>3000</v>
      </c>
      <c r="D27" s="120">
        <f>B27+C27</f>
        <v>8170.8</v>
      </c>
      <c r="E27" s="29" t="inlineStr">
        <is>
          <t>GL journals #68926 (NSW) and #68927 (other states)</t>
        </is>
      </c>
    </row>
    <row r="28">
      <c r="A28" s="18" t="inlineStr">
        <is>
          <t>August 2026</t>
        </is>
      </c>
      <c r="B28" s="130" t="n">
        <v>6295.07</v>
      </c>
      <c r="C28" s="130" t="n">
        <v>2700</v>
      </c>
      <c r="D28" s="120">
        <f>B28+C28</f>
        <v>8995.07</v>
      </c>
      <c r="E28" s="29" t="inlineStr">
        <is>
          <t>GL journals #69671 + #70351 (NSW) and #69670 (other states)</t>
        </is>
      </c>
    </row>
    <row r="29">
      <c r="A29" s="29"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69"/>
  <sheetViews>
    <sheetView workbookViewId="0">
      <pane ySplit="4" topLeftCell="A5" activePane="bottomLeft" state="frozen"/>
      <selection pane="bottomLeft" activeCell="A12" sqref="A12:K12"/>
    </sheetView>
  </sheetViews>
  <sheetFormatPr baseColWidth="8" defaultRowHeight="15"/>
  <cols>
    <col width="34" customWidth="1" style="109" min="1" max="1"/>
    <col width="12" customWidth="1" style="109" min="2" max="2"/>
    <col width="44" customWidth="1" style="109" min="3" max="3"/>
    <col width="12" customWidth="1" style="109" min="4" max="5"/>
    <col width="17.42578125" customWidth="1" style="109" min="6" max="6"/>
    <col width="13" customWidth="1" style="109" min="7" max="7"/>
    <col width="16" customWidth="1" style="109" min="8" max="8"/>
    <col width="11" customWidth="1" style="109" min="9" max="9"/>
    <col width="8" customWidth="1" style="109" min="10" max="10"/>
    <col width="62" customWidth="1" style="109" min="11" max="11"/>
  </cols>
  <sheetData>
    <row r="1" ht="18" customHeight="1" s="109">
      <c r="A1" s="1" t="inlineStr">
        <is>
          <t>Receivables - every open invoice and when the cash is expected</t>
        </is>
      </c>
    </row>
    <row r="2">
      <c r="A2" s="29" t="inlineStr">
        <is>
          <t>Xero aged receivables at 28 Sep ($580,292.39, 38 invoices) plus the Sep contract invoices we still have to raise (from the repeating templates). Expected date (blue) is my call based on how each customer has been paying - change it and the forecast moves. Updated 12 Oct: paid invoices are greyed out with the date they landed, the Sep contract invoices (raised 30 Sep) replace the "to be raised" rows, and the expected date has been moved on anything that has not come in.</t>
        </is>
      </c>
    </row>
    <row r="4" ht="30" customHeight="1" s="109">
      <c r="A4" s="113" t="inlineStr">
        <is>
          <t>Customer</t>
        </is>
      </c>
      <c r="B4" s="113" t="inlineStr">
        <is>
          <t>Invoice</t>
        </is>
      </c>
      <c r="C4" s="113" t="inlineStr">
        <is>
          <t>Reference</t>
        </is>
      </c>
      <c r="D4" s="113" t="inlineStr">
        <is>
          <t>Invoice date</t>
        </is>
      </c>
      <c r="E4" s="113" t="inlineStr">
        <is>
          <t>Due date</t>
        </is>
      </c>
      <c r="F4" s="113" t="inlineStr">
        <is>
          <t>Amount (incl GST)</t>
        </is>
      </c>
      <c r="G4" s="113" t="inlineStr">
        <is>
          <t>Status</t>
        </is>
      </c>
      <c r="H4" s="113" t="inlineStr">
        <is>
          <t>Expected receipt date</t>
        </is>
      </c>
      <c r="I4" s="113" t="inlineStr">
        <is>
          <t>Days after due</t>
        </is>
      </c>
      <c r="J4" s="113" t="inlineStr">
        <is>
          <t>Week</t>
        </is>
      </c>
      <c r="K4" s="113" t="inlineStr">
        <is>
          <t>Why that date</t>
        </is>
      </c>
    </row>
    <row r="5">
      <c r="A5" s="170" t="inlineStr">
        <is>
          <t>APT Management Services (APA)</t>
        </is>
      </c>
      <c r="B5" s="170" t="inlineStr">
        <is>
          <t>INV-10622</t>
        </is>
      </c>
      <c r="C5" s="170" t="inlineStr">
        <is>
          <t>PO-00030884</t>
        </is>
      </c>
      <c r="D5" s="171" t="n">
        <v>46275</v>
      </c>
      <c r="E5" s="171" t="n">
        <v>46305</v>
      </c>
      <c r="F5" s="172" t="n">
        <v>4352.45</v>
      </c>
      <c r="G5" s="173" t="inlineStr">
        <is>
          <t>Paid 2 Oct</t>
        </is>
      </c>
      <c r="H5" s="171" t="n">
        <v>46297</v>
      </c>
      <c r="I5" s="174">
        <f>H5-E5</f>
        <v>-8</v>
      </c>
      <c r="J5" s="170">
        <f>IF(H5&lt;Assumptions!$B$5,"Before",IF(H5&gt;Assumptions!$C$48,"After",INT((H5-Assumptions!$B$5)/7)+1))</f>
        <v>1</v>
      </c>
      <c r="K5" s="175" t="inlineStr">
        <is>
          <t>Paid 2 Oct - in the bank, in the actuals.</t>
        </is>
      </c>
    </row>
    <row r="6">
      <c r="A6" s="170" t="inlineStr">
        <is>
          <t>APT Management Services (APA)</t>
        </is>
      </c>
      <c r="B6" s="170" t="inlineStr">
        <is>
          <t>INV-10628</t>
        </is>
      </c>
      <c r="C6" s="170" t="inlineStr">
        <is>
          <t>APA RUOK Event 10.09.2026</t>
        </is>
      </c>
      <c r="D6" s="171" t="n">
        <v>46281</v>
      </c>
      <c r="E6" s="171" t="n">
        <v>46311</v>
      </c>
      <c r="F6" s="172" t="n">
        <v>627</v>
      </c>
      <c r="G6" s="173" t="inlineStr">
        <is>
          <t>Paid 7 Oct</t>
        </is>
      </c>
      <c r="H6" s="171" t="n">
        <v>46302</v>
      </c>
      <c r="I6" s="174">
        <f>H6-E6</f>
        <v>-9</v>
      </c>
      <c r="J6" s="170">
        <f>IF(H6&lt;Assumptions!$B$5,"Before",IF(H6&gt;Assumptions!$C$48,"After",INT((H6-Assumptions!$B$5)/7)+1))</f>
        <v>2</v>
      </c>
      <c r="K6" s="175" t="inlineStr">
        <is>
          <t>Paid 7 Oct - in the bank, in the actuals.</t>
        </is>
      </c>
    </row>
    <row r="7">
      <c r="A7" s="170" t="inlineStr">
        <is>
          <t>ASX Operations</t>
        </is>
      </c>
      <c r="B7" s="170" t="inlineStr">
        <is>
          <t>INV-10599</t>
        </is>
      </c>
      <c r="C7" s="170" t="inlineStr">
        <is>
          <t>ASX Employee Town Hall 13.08.2026</t>
        </is>
      </c>
      <c r="D7" s="171" t="n">
        <v>46261</v>
      </c>
      <c r="E7" s="171" t="n">
        <v>46291</v>
      </c>
      <c r="F7" s="172" t="n">
        <v>1661</v>
      </c>
      <c r="G7" s="173" t="inlineStr">
        <is>
          <t>Paid 8 Oct</t>
        </is>
      </c>
      <c r="H7" s="171" t="n">
        <v>46303</v>
      </c>
      <c r="I7" s="174">
        <f>H7-E7</f>
        <v>12</v>
      </c>
      <c r="J7" s="170">
        <f>IF(H7&lt;Assumptions!$B$5,"Before",IF(H7&gt;Assumptions!$C$48,"After",INT((H7-Assumptions!$B$5)/7)+1))</f>
        <v>2</v>
      </c>
      <c r="K7" s="175" t="inlineStr">
        <is>
          <t>Paid 8 Oct - in the bank, in the actuals.</t>
        </is>
      </c>
    </row>
    <row r="8">
      <c r="A8" s="18" t="inlineStr">
        <is>
          <t>ASX Operations</t>
        </is>
      </c>
      <c r="B8" s="18" t="inlineStr">
        <is>
          <t>INV-10624</t>
        </is>
      </c>
      <c r="C8" s="18" t="inlineStr">
        <is>
          <t>ASX CEO Connect Series 01.09.2026</t>
        </is>
      </c>
      <c r="D8" s="137" t="n">
        <v>46280</v>
      </c>
      <c r="E8" s="137" t="n">
        <v>46310</v>
      </c>
      <c r="F8" s="138" t="n">
        <v>4591.4</v>
      </c>
      <c r="G8" s="33" t="inlineStr">
        <is>
          <t>Current</t>
        </is>
      </c>
      <c r="H8" s="137" t="n">
        <v>46311</v>
      </c>
      <c r="I8" s="45">
        <f>H8-E8</f>
        <v>1</v>
      </c>
      <c r="J8" s="18">
        <f>IF(H8&lt;Assumptions!$B$5,"Before",IF(H8&gt;Assumptions!$C$48,"After",INT((H8-Assumptions!$B$5)/7)+1))</f>
        <v>3</v>
      </c>
      <c r="K8" s="115" t="inlineStr">
        <is>
          <t>Due date plus a day</t>
        </is>
      </c>
    </row>
    <row r="9">
      <c r="A9" s="18" t="inlineStr">
        <is>
          <t>ASX Operations</t>
        </is>
      </c>
      <c r="B9" s="18" t="inlineStr">
        <is>
          <t>INV-10623</t>
        </is>
      </c>
      <c r="C9" s="18" t="inlineStr">
        <is>
          <t>ASX Live 01.09.2026</t>
        </is>
      </c>
      <c r="D9" s="137" t="n">
        <v>46280</v>
      </c>
      <c r="E9" s="137" t="n">
        <v>46310</v>
      </c>
      <c r="F9" s="138" t="n">
        <v>8544.799999999999</v>
      </c>
      <c r="G9" s="33" t="inlineStr">
        <is>
          <t>Current</t>
        </is>
      </c>
      <c r="H9" s="137" t="n">
        <v>46311</v>
      </c>
      <c r="I9" s="45">
        <f>H9-E9</f>
        <v>1</v>
      </c>
      <c r="J9" s="18">
        <f>IF(H9&lt;Assumptions!$B$5,"Before",IF(H9&gt;Assumptions!$C$48,"After",INT((H9-Assumptions!$B$5)/7)+1))</f>
        <v>3</v>
      </c>
      <c r="K9" s="115" t="inlineStr">
        <is>
          <t>Due date plus a day</t>
        </is>
      </c>
    </row>
    <row r="10">
      <c r="A10" s="170" t="inlineStr">
        <is>
          <t>Australian Payments Network</t>
        </is>
      </c>
      <c r="B10" s="170" t="inlineStr">
        <is>
          <t>INV-10574</t>
        </is>
      </c>
      <c r="C10" s="170" t="inlineStr">
        <is>
          <t>Logitech room licence renewal</t>
        </is>
      </c>
      <c r="D10" s="171" t="n">
        <v>46254</v>
      </c>
      <c r="E10" s="171" t="n">
        <v>46284</v>
      </c>
      <c r="F10" s="172" t="n">
        <v>1092.3</v>
      </c>
      <c r="G10" s="173" t="inlineStr">
        <is>
          <t>Paid 30 Sep</t>
        </is>
      </c>
      <c r="H10" s="171" t="n">
        <v>46295</v>
      </c>
      <c r="I10" s="174">
        <f>H10-E10</f>
        <v>11</v>
      </c>
      <c r="J10" s="170">
        <f>IF(H10&lt;Assumptions!$B$5,"Before",IF(H10&gt;Assumptions!$C$48,"After",INT((H10-Assumptions!$B$5)/7)+1))</f>
        <v>1</v>
      </c>
      <c r="K10" s="175" t="inlineStr">
        <is>
          <t>Paid 30 Sep - in the bank, in the actuals.</t>
        </is>
      </c>
    </row>
    <row r="11">
      <c r="A11" s="18" t="inlineStr">
        <is>
          <t>Aware Super</t>
        </is>
      </c>
      <c r="B11" s="18" t="inlineStr">
        <is>
          <t>INV-10583</t>
        </is>
      </c>
      <c r="C11" s="18" t="inlineStr">
        <is>
          <t>Annual National Maintenance (Aug)</t>
        </is>
      </c>
      <c r="D11" s="137" t="n">
        <v>46265</v>
      </c>
      <c r="E11" s="137" t="n">
        <v>46295</v>
      </c>
      <c r="F11" s="138" t="n">
        <v>12100</v>
      </c>
      <c r="G11" s="33" t="inlineStr">
        <is>
          <t>Open</t>
        </is>
      </c>
      <c r="H11" s="137" t="n">
        <v>46311</v>
      </c>
      <c r="I11" s="45">
        <f>H11-E11</f>
        <v>16</v>
      </c>
      <c r="J11" s="18">
        <f>IF(H11&lt;Assumptions!$B$5,"Before",IF(H11&gt;Assumptions!$C$48,"After",INT((H11-Assumptions!$B$5)/7)+1))</f>
        <v>3</v>
      </c>
      <c r="K11" s="115" t="inlineStr">
        <is>
          <t>Still unpaid at 12 Oct (due 30 Sep). Aware usually pay on the due date - call it Fri 16 Oct and chase with the big one.</t>
        </is>
      </c>
    </row>
    <row r="12" ht="36" customHeight="1" s="109">
      <c r="A12" s="98" t="inlineStr">
        <is>
          <t>Aware Super</t>
        </is>
      </c>
      <c r="B12" s="98" t="inlineStr">
        <is>
          <t>INV-10596</t>
        </is>
      </c>
      <c r="C12" s="98" t="inlineStr">
        <is>
          <t>Seminar Room AV Upgrade</t>
        </is>
      </c>
      <c r="D12" s="139" t="n">
        <v>46274</v>
      </c>
      <c r="E12" s="139" t="n">
        <v>46304</v>
      </c>
      <c r="F12" s="140" t="n">
        <v>225887.4</v>
      </c>
      <c r="G12" s="101" t="inlineStr">
        <is>
          <t>Current</t>
        </is>
      </c>
      <c r="H12" s="139" t="n">
        <v>46335</v>
      </c>
      <c r="I12" s="102">
        <f>H12-E12</f>
        <v>31</v>
      </c>
      <c r="J12" s="98" t="str">
        <f>IF(H12&lt;Assumptions!$B$5,"Before",IF(H12&gt;Assumptions!$C$48,"After",INT((H12-Assumptions!$B$5)/7)+1))</f>
        <v>After</v>
      </c>
      <c r="K12" s="103" t="inlineStr">
        <is>
          <t>PER GC EMAIL (29 Sep) expects ~30 days late - Aware only opened it 24 Sep, it differs from the quote and no substantiation sent. Chasing Aware AP for approval; bring back to 9 Oct if confirmed</t>
        </is>
      </c>
    </row>
    <row r="13" ht="24" customHeight="1" s="109">
      <c r="A13" s="18" t="inlineStr">
        <is>
          <t>Aware Super</t>
        </is>
      </c>
      <c r="B13" s="18" t="inlineStr">
        <is>
          <t>INV-10635</t>
        </is>
      </c>
      <c r="C13" s="18" t="inlineStr">
        <is>
          <t>Appspace licensing subscription (12 months)</t>
        </is>
      </c>
      <c r="D13" s="137" t="n">
        <v>46283</v>
      </c>
      <c r="E13" s="137" t="n">
        <v>46313</v>
      </c>
      <c r="F13" s="138" t="n">
        <v>23317.11</v>
      </c>
      <c r="G13" s="33" t="inlineStr">
        <is>
          <t>Current</t>
        </is>
      </c>
      <c r="H13" s="137" t="n">
        <v>46311</v>
      </c>
      <c r="I13" s="45">
        <f>H13-E13</f>
        <v>-2</v>
      </c>
      <c r="J13" s="18">
        <f>IF(H13&lt;Assumptions!$B$5,"Before",IF(H13&gt;Assumptions!$C$48,"After",INT((H13-Assumptions!$B$5)/7)+1))</f>
        <v>3</v>
      </c>
      <c r="K13" s="115" t="inlineStr">
        <is>
          <t>Due Sun 18 Oct so Fri 16 Oct. Covers the Appspace bill ($20,985) due 24 Oct.</t>
        </is>
      </c>
    </row>
    <row r="14">
      <c r="A14" s="18" t="inlineStr">
        <is>
          <t>Aware Super</t>
        </is>
      </c>
      <c r="B14" s="18" t="inlineStr">
        <is>
          <t>INV-10646</t>
        </is>
      </c>
      <c r="C14" s="18" t="inlineStr">
        <is>
          <t>Perth office BYOD USB-C replacement</t>
        </is>
      </c>
      <c r="D14" s="137" t="n">
        <v>46289</v>
      </c>
      <c r="E14" s="137" t="n">
        <v>46319</v>
      </c>
      <c r="F14" s="138" t="n">
        <v>3252.7</v>
      </c>
      <c r="G14" s="33" t="inlineStr">
        <is>
          <t>Current</t>
        </is>
      </c>
      <c r="H14" s="137" t="n">
        <v>46318</v>
      </c>
      <c r="I14" s="45">
        <f>H14-E14</f>
        <v>-1</v>
      </c>
      <c r="J14" s="18">
        <f>IF(H14&lt;Assumptions!$B$5,"Before",IF(H14&gt;Assumptions!$C$48,"After",INT((H14-Assumptions!$B$5)/7)+1))</f>
        <v>4</v>
      </c>
      <c r="K14" s="115" t="inlineStr">
        <is>
          <t>Due Sat 24 Oct - call it Fri 23 Oct</t>
        </is>
      </c>
    </row>
    <row r="15">
      <c r="A15" s="18" t="inlineStr">
        <is>
          <t>Aware Super</t>
        </is>
      </c>
      <c r="B15" s="18" t="inlineStr">
        <is>
          <t>INV-10619</t>
        </is>
      </c>
      <c r="C15" s="18" t="inlineStr">
        <is>
          <t>Sydney 24.16 UC Engine remediation variation</t>
        </is>
      </c>
      <c r="D15" s="137" t="n">
        <v>46290</v>
      </c>
      <c r="E15" s="137" t="n">
        <v>46320</v>
      </c>
      <c r="F15" s="138" t="n">
        <v>738.1</v>
      </c>
      <c r="G15" s="33" t="inlineStr">
        <is>
          <t>Current</t>
        </is>
      </c>
      <c r="H15" s="137" t="n">
        <v>46318</v>
      </c>
      <c r="I15" s="45">
        <f>H15-E15</f>
        <v>-2</v>
      </c>
      <c r="J15" s="18">
        <f>IF(H15&lt;Assumptions!$B$5,"Before",IF(H15&gt;Assumptions!$C$48,"After",INT((H15-Assumptions!$B$5)/7)+1))</f>
        <v>4</v>
      </c>
      <c r="K15" s="115" t="inlineStr">
        <is>
          <t>Due Sun 25 Oct - call it Fri 23 Oct</t>
        </is>
      </c>
    </row>
    <row r="16">
      <c r="A16" s="18" t="inlineStr">
        <is>
          <t>Downer EDI</t>
        </is>
      </c>
      <c r="B16" s="18" t="inlineStr">
        <is>
          <t>INV-10587</t>
        </is>
      </c>
      <c r="C16" s="18" t="inlineStr">
        <is>
          <t>Full Year Results Briefing 20.08.2026</t>
        </is>
      </c>
      <c r="D16" s="137" t="n">
        <v>46259</v>
      </c>
      <c r="E16" s="137" t="n">
        <v>46289</v>
      </c>
      <c r="F16" s="138" t="n">
        <v>12808.69</v>
      </c>
      <c r="G16" s="33" t="inlineStr">
        <is>
          <t>Overdue</t>
        </is>
      </c>
      <c r="H16" s="137" t="n">
        <v>46311</v>
      </c>
      <c r="I16" s="45">
        <f>H16-E16</f>
        <v>22</v>
      </c>
      <c r="J16" s="18">
        <f>IF(H16&lt;Assumptions!$B$5,"Before",IF(H16&gt;Assumptions!$C$48,"After",INT((H16-Assumptions!$B$5)/7)+1))</f>
        <v>3</v>
      </c>
      <c r="K16" s="115" t="inlineStr">
        <is>
          <t>Still not in at 12 Oct - chase. Fri 16 Oct.</t>
        </is>
      </c>
    </row>
    <row r="17">
      <c r="A17" s="18" t="inlineStr">
        <is>
          <t>Downer EDI</t>
        </is>
      </c>
      <c r="B17" s="18" t="inlineStr">
        <is>
          <t>INV-10611</t>
        </is>
      </c>
      <c r="C17" s="18" t="inlineStr">
        <is>
          <t>Full Year Employee Briefing 25.08.2026</t>
        </is>
      </c>
      <c r="D17" s="137" t="n">
        <v>46265</v>
      </c>
      <c r="E17" s="137" t="n">
        <v>46295</v>
      </c>
      <c r="F17" s="138" t="n">
        <v>26855.13</v>
      </c>
      <c r="G17" s="33" t="inlineStr">
        <is>
          <t>Overdue</t>
        </is>
      </c>
      <c r="H17" s="137" t="n">
        <v>46311</v>
      </c>
      <c r="I17" s="45">
        <f>H17-E17</f>
        <v>16</v>
      </c>
      <c r="J17" s="18">
        <f>IF(H17&lt;Assumptions!$B$5,"Before",IF(H17&gt;Assumptions!$C$48,"After",INT((H17-Assumptions!$B$5)/7)+1))</f>
        <v>3</v>
      </c>
      <c r="K17" s="115" t="inlineStr">
        <is>
          <t>Still not in at 12 Oct - chase with the other one. Fri 16 Oct.</t>
        </is>
      </c>
    </row>
    <row r="18">
      <c r="A18" s="18" t="inlineStr">
        <is>
          <t>Generation-e Productivity Solutions</t>
        </is>
      </c>
      <c r="B18" s="18" t="inlineStr">
        <is>
          <t>INV-10532</t>
        </is>
      </c>
      <c r="C18" s="18" t="inlineStr">
        <is>
          <t>PAU26-407 (Jul)</t>
        </is>
      </c>
      <c r="D18" s="137" t="n">
        <v>46234</v>
      </c>
      <c r="E18" s="137" t="n">
        <v>46264</v>
      </c>
      <c r="F18" s="138" t="n">
        <v>11850.16</v>
      </c>
      <c r="G18" s="33" t="inlineStr">
        <is>
          <t>Overdue</t>
        </is>
      </c>
      <c r="H18" s="137" t="n">
        <v>46316</v>
      </c>
      <c r="I18" s="45">
        <f>H18-E18</f>
        <v>52</v>
      </c>
      <c r="J18" s="18">
        <f>IF(H18&lt;Assumptions!$B$5,"Before",IF(H18&gt;Assumptions!$C$48,"After",INT((H18-Assumptions!$B$5)/7)+1))</f>
        <v>4</v>
      </c>
      <c r="K18" s="115" t="inlineStr">
        <is>
          <t>Six weeks overdue at 12 Oct. Xero shows $11,850.16 left on this one (a $1,777.52 credit has been applied), so the three Gen-e invoices total $39,106. Chase. Week 3.</t>
        </is>
      </c>
    </row>
    <row r="19">
      <c r="A19" s="18" t="inlineStr">
        <is>
          <t>Generation-e Productivity Solutions</t>
        </is>
      </c>
      <c r="B19" s="18" t="inlineStr">
        <is>
          <t>INV-10573</t>
        </is>
      </c>
      <c r="C19" s="18" t="inlineStr">
        <is>
          <t>PAU26-407 (Aug)</t>
        </is>
      </c>
      <c r="D19" s="137" t="n">
        <v>46265</v>
      </c>
      <c r="E19" s="137" t="n">
        <v>46295</v>
      </c>
      <c r="F19" s="138" t="n">
        <v>13627.68</v>
      </c>
      <c r="G19" s="33" t="inlineStr">
        <is>
          <t>Current</t>
        </is>
      </c>
      <c r="H19" s="137" t="n">
        <v>46316</v>
      </c>
      <c r="I19" s="45">
        <f>H19-E19</f>
        <v>21</v>
      </c>
      <c r="J19" s="18">
        <f>IF(H19&lt;Assumptions!$B$5,"Before",IF(H19&gt;Assumptions!$C$48,"After",INT((H19-Assumptions!$B$5)/7)+1))</f>
        <v>4</v>
      </c>
      <c r="K19" s="115" t="inlineStr">
        <is>
          <t>Slow payers - 3 weeks after due</t>
        </is>
      </c>
    </row>
    <row r="20">
      <c r="A20" s="170" t="inlineStr">
        <is>
          <t>ICC Sydney</t>
        </is>
      </c>
      <c r="B20" s="170" t="inlineStr">
        <is>
          <t>INV-10630</t>
        </is>
      </c>
      <c r="C20" s="170" t="inlineStr">
        <is>
          <t>Speaker presentation technicians - ICAS 2026</t>
        </is>
      </c>
      <c r="D20" s="171" t="n">
        <v>46281</v>
      </c>
      <c r="E20" s="171" t="n">
        <v>46311</v>
      </c>
      <c r="F20" s="172" t="n">
        <v>1040.88</v>
      </c>
      <c r="G20" s="173" t="inlineStr">
        <is>
          <t>Paid 29 Sep</t>
        </is>
      </c>
      <c r="H20" s="171" t="n">
        <v>46294</v>
      </c>
      <c r="I20" s="174">
        <f>H20-E20</f>
        <v>-17</v>
      </c>
      <c r="J20" s="170">
        <f>IF(H20&lt;Assumptions!$B$5,"Before",IF(H20&gt;Assumptions!$C$48,"After",INT((H20-Assumptions!$B$5)/7)+1))</f>
        <v>1</v>
      </c>
      <c r="K20" s="175" t="inlineStr">
        <is>
          <t>Paid 29 Sep - in the bank, in the actuals.</t>
        </is>
      </c>
    </row>
    <row r="21">
      <c r="A21" s="170" t="inlineStr">
        <is>
          <t>ICC Sydney</t>
        </is>
      </c>
      <c r="B21" s="170" t="inlineStr">
        <is>
          <t>INV-10633</t>
        </is>
      </c>
      <c r="C21" s="170" t="inlineStr">
        <is>
          <t>Speaker presentation technicians - ISE</t>
        </is>
      </c>
      <c r="D21" s="171" t="n">
        <v>46281</v>
      </c>
      <c r="E21" s="171" t="n">
        <v>46311</v>
      </c>
      <c r="F21" s="172" t="n">
        <v>5131.51</v>
      </c>
      <c r="G21" s="173" t="inlineStr">
        <is>
          <t>Paid 29 Sep</t>
        </is>
      </c>
      <c r="H21" s="171" t="n">
        <v>46294</v>
      </c>
      <c r="I21" s="174">
        <f>H21-E21</f>
        <v>-17</v>
      </c>
      <c r="J21" s="170">
        <f>IF(H21&lt;Assumptions!$B$5,"Before",IF(H21&gt;Assumptions!$C$48,"After",INT((H21-Assumptions!$B$5)/7)+1))</f>
        <v>1</v>
      </c>
      <c r="K21" s="175" t="inlineStr">
        <is>
          <t>Paid 29 Sep - in the bank, in the actuals.</t>
        </is>
      </c>
    </row>
    <row r="22">
      <c r="A22" s="18" t="inlineStr">
        <is>
          <t>Jaazaniah Salanoa (staff)</t>
        </is>
      </c>
      <c r="B22" s="18" t="inlineStr">
        <is>
          <t>INV-10621</t>
        </is>
      </c>
      <c r="C22" s="18" t="inlineStr">
        <is>
          <t>Goget hire recovery</t>
        </is>
      </c>
      <c r="D22" s="137" t="n">
        <v>46265</v>
      </c>
      <c r="E22" s="137" t="n">
        <v>46295</v>
      </c>
      <c r="F22" s="138" t="n">
        <v>66.64</v>
      </c>
      <c r="G22" s="33" t="inlineStr">
        <is>
          <t>Open</t>
        </is>
      </c>
      <c r="H22" s="137" t="n">
        <v>46325</v>
      </c>
      <c r="I22" s="45">
        <f>H22-E22</f>
        <v>30</v>
      </c>
      <c r="J22" s="18">
        <f>IF(H22&lt;Assumptions!$B$5,"Before",IF(H22&gt;Assumptions!$C$48,"After",INT((H22-Assumptions!$B$5)/7)+1))</f>
        <v>5</v>
      </c>
      <c r="K22" s="115" t="inlineStr">
        <is>
          <t>Staff recovery - goes through payroll, no cash. Pushed to end of month.</t>
        </is>
      </c>
    </row>
    <row r="23">
      <c r="A23" s="18" t="inlineStr">
        <is>
          <t>Meet Magic</t>
        </is>
      </c>
      <c r="B23" s="18" t="inlineStr">
        <is>
          <t>INV-10464</t>
        </is>
      </c>
      <c r="C23" s="18" t="inlineStr">
        <is>
          <t>Human AI Event highlight videos 29.05.2026</t>
        </is>
      </c>
      <c r="D23" s="137" t="n">
        <v>46192</v>
      </c>
      <c r="E23" s="137" t="n">
        <v>46199</v>
      </c>
      <c r="F23" s="138" t="n">
        <v>5075.07</v>
      </c>
      <c r="G23" s="33" t="inlineStr">
        <is>
          <t>Overdue 3 months</t>
        </is>
      </c>
      <c r="H23" s="137" t="n">
        <v>46356</v>
      </c>
      <c r="I23" s="45">
        <f>H23-E23</f>
        <v>157</v>
      </c>
      <c r="J23" s="18" t="str">
        <f>IF(H23&lt;Assumptions!$B$5,"Before",IF(H23&gt;Assumptions!$C$48,"After",INT((H23-Assumptions!$B$5)/7)+1))</f>
        <v>After</v>
      </c>
      <c r="K23" s="115" t="inlineStr">
        <is>
          <t>DOUBTFUL - 3 months overdue. Left out of Oct. Needs escalating.</t>
        </is>
      </c>
    </row>
    <row r="24">
      <c r="A24" s="18" t="inlineStr">
        <is>
          <t>Microsoft</t>
        </is>
      </c>
      <c r="B24" s="18" t="inlineStr">
        <is>
          <t>INV-10554</t>
        </is>
      </c>
      <c r="C24" s="18" t="inlineStr">
        <is>
          <t>PO 10160645</t>
        </is>
      </c>
      <c r="D24" s="137" t="n">
        <v>46234</v>
      </c>
      <c r="E24" s="137" t="n">
        <v>46264</v>
      </c>
      <c r="F24" s="138" t="n">
        <v>13845.7</v>
      </c>
      <c r="G24" s="33" t="inlineStr">
        <is>
          <t>Overdue</t>
        </is>
      </c>
      <c r="H24" s="137" t="n">
        <v>46316</v>
      </c>
      <c r="I24" s="45">
        <f>H24-E24</f>
        <v>52</v>
      </c>
      <c r="J24" s="18">
        <f>IF(H24&lt;Assumptions!$B$5,"Before",IF(H24&gt;Assumptions!$C$48,"After",INT((H24-Assumptions!$B$5)/7)+1))</f>
        <v>4</v>
      </c>
      <c r="K24" s="115" t="inlineStr">
        <is>
          <t>Six weeks overdue at 12 Oct - usually a PO / portal issue. Week 3.</t>
        </is>
      </c>
    </row>
    <row r="25">
      <c r="A25" s="18" t="inlineStr">
        <is>
          <t>ON24</t>
        </is>
      </c>
      <c r="B25" s="18" t="inlineStr">
        <is>
          <t>INV-10552</t>
        </is>
      </c>
      <c r="C25" s="18" t="inlineStr">
        <is>
          <t>PO #25962 (Jul)</t>
        </is>
      </c>
      <c r="D25" s="137" t="n">
        <v>46234</v>
      </c>
      <c r="E25" s="137" t="n">
        <v>46264</v>
      </c>
      <c r="F25" s="138" t="n">
        <v>2832.5</v>
      </c>
      <c r="G25" s="33" t="inlineStr">
        <is>
          <t>Overdue</t>
        </is>
      </c>
      <c r="H25" s="137" t="n">
        <v>46316</v>
      </c>
      <c r="I25" s="45">
        <f>H25-E25</f>
        <v>52</v>
      </c>
      <c r="J25" s="18">
        <f>IF(H25&lt;Assumptions!$B$5,"Before",IF(H25&gt;Assumptions!$C$48,"After",INT((H25-Assumptions!$B$5)/7)+1))</f>
        <v>4</v>
      </c>
      <c r="K25" s="115" t="inlineStr">
        <is>
          <t>Six weeks overdue at 12 Oct - chase. Week 3.</t>
        </is>
      </c>
    </row>
    <row r="26">
      <c r="A26" s="18" t="inlineStr">
        <is>
          <t>ON24</t>
        </is>
      </c>
      <c r="B26" s="18" t="inlineStr">
        <is>
          <t>INV-10589</t>
        </is>
      </c>
      <c r="C26" s="18" t="inlineStr">
        <is>
          <t>PO25962 (Aug)</t>
        </is>
      </c>
      <c r="D26" s="137" t="n">
        <v>46260</v>
      </c>
      <c r="E26" s="137" t="n">
        <v>46290</v>
      </c>
      <c r="F26" s="138" t="n">
        <v>3005.75</v>
      </c>
      <c r="G26" s="33" t="inlineStr">
        <is>
          <t>Overdue</t>
        </is>
      </c>
      <c r="H26" s="137" t="n">
        <v>46316</v>
      </c>
      <c r="I26" s="45">
        <f>H26-E26</f>
        <v>26</v>
      </c>
      <c r="J26" s="18">
        <f>IF(H26&lt;Assumptions!$B$5,"Before",IF(H26&gt;Assumptions!$C$48,"After",INT((H26-Assumptions!$B$5)/7)+1))</f>
        <v>4</v>
      </c>
      <c r="K26" s="115" t="inlineStr">
        <is>
          <t>Assume it comes with the Aug one. Week 3.</t>
        </is>
      </c>
    </row>
    <row r="27">
      <c r="A27" s="18" t="inlineStr">
        <is>
          <t>Property NSW</t>
        </is>
      </c>
      <c r="B27" s="18" t="inlineStr">
        <is>
          <t>INV-10396</t>
        </is>
      </c>
      <c r="C27" s="18" t="inlineStr">
        <is>
          <t>Penrith BDA Condeco desk booking (PO20285637)</t>
        </is>
      </c>
      <c r="D27" s="137" t="n">
        <v>46148</v>
      </c>
      <c r="E27" s="137" t="n">
        <v>46178</v>
      </c>
      <c r="F27" s="138" t="n">
        <v>19733.45</v>
      </c>
      <c r="G27" s="33" t="inlineStr">
        <is>
          <t>Overdue 3 months</t>
        </is>
      </c>
      <c r="H27" s="137" t="n">
        <v>46356</v>
      </c>
      <c r="I27" s="45">
        <f>H27-E27</f>
        <v>178</v>
      </c>
      <c r="J27" s="18" t="str">
        <f>IF(H27&lt;Assumptions!$B$5,"Before",IF(H27&gt;Assumptions!$C$48,"After",INT((H27-Assumptions!$B$5)/7)+1))</f>
        <v>After</v>
      </c>
      <c r="K27" s="115" t="inlineStr">
        <is>
          <t>DOUBTFUL - nearly 4 months overdue. Left out of Oct. Needs escalating.</t>
        </is>
      </c>
    </row>
    <row r="28" ht="24" customHeight="1" s="109">
      <c r="A28" s="170" t="inlineStr">
        <is>
          <t>PwC Services</t>
        </is>
      </c>
      <c r="B28" s="170" t="inlineStr">
        <is>
          <t>INV-10535</t>
        </is>
      </c>
      <c r="C28" s="170" t="inlineStr">
        <is>
          <t>PO2601702104 (Jul)</t>
        </is>
      </c>
      <c r="D28" s="171" t="n">
        <v>46234</v>
      </c>
      <c r="E28" s="171" t="n">
        <v>46264</v>
      </c>
      <c r="F28" s="172" t="n">
        <v>13097.7</v>
      </c>
      <c r="G28" s="173" t="inlineStr">
        <is>
          <t>Paid 29 Sep</t>
        </is>
      </c>
      <c r="H28" s="171" t="n">
        <v>46294</v>
      </c>
      <c r="I28" s="174">
        <f>H28-E28</f>
        <v>30</v>
      </c>
      <c r="J28" s="170">
        <f>IF(H28&lt;Assumptions!$B$5,"Before",IF(H28&gt;Assumptions!$C$48,"After",INT((H28-Assumptions!$B$5)/7)+1))</f>
        <v>1</v>
      </c>
      <c r="K28" s="175" t="inlineStr">
        <is>
          <t>Paid 29 Sep - in the bank, in the actuals.</t>
        </is>
      </c>
    </row>
    <row r="29">
      <c r="A29" s="170" t="inlineStr">
        <is>
          <t>PwC Services</t>
        </is>
      </c>
      <c r="B29" s="170" t="inlineStr">
        <is>
          <t>INV-10531</t>
        </is>
      </c>
      <c r="C29" s="170" t="inlineStr">
        <is>
          <t>PO2601702371 (Jul)</t>
        </is>
      </c>
      <c r="D29" s="171" t="n">
        <v>46234</v>
      </c>
      <c r="E29" s="171" t="n">
        <v>46264</v>
      </c>
      <c r="F29" s="172" t="n">
        <v>7865</v>
      </c>
      <c r="G29" s="173" t="inlineStr">
        <is>
          <t>Paid 29 Sep</t>
        </is>
      </c>
      <c r="H29" s="171" t="n">
        <v>46294</v>
      </c>
      <c r="I29" s="174">
        <f>H29-E29</f>
        <v>30</v>
      </c>
      <c r="J29" s="170">
        <f>IF(H29&lt;Assumptions!$B$5,"Before",IF(H29&gt;Assumptions!$C$48,"After",INT((H29-Assumptions!$B$5)/7)+1))</f>
        <v>1</v>
      </c>
      <c r="K29" s="175" t="inlineStr">
        <is>
          <t>Paid 29 Sep - in the bank, in the actuals.</t>
        </is>
      </c>
    </row>
    <row r="30">
      <c r="A30" s="170" t="inlineStr">
        <is>
          <t>PwC Services</t>
        </is>
      </c>
      <c r="B30" s="170" t="inlineStr">
        <is>
          <t>INV-10598</t>
        </is>
      </c>
      <c r="C30" s="170" t="inlineStr">
        <is>
          <t>PO2601703509</t>
        </is>
      </c>
      <c r="D30" s="171" t="n">
        <v>46265</v>
      </c>
      <c r="E30" s="171" t="n">
        <v>46295</v>
      </c>
      <c r="F30" s="172" t="n">
        <v>9350</v>
      </c>
      <c r="G30" s="173" t="inlineStr">
        <is>
          <t>Paid 6 Oct</t>
        </is>
      </c>
      <c r="H30" s="171" t="n">
        <v>46301</v>
      </c>
      <c r="I30" s="174">
        <f>H30-E30</f>
        <v>6</v>
      </c>
      <c r="J30" s="170">
        <f>IF(H30&lt;Assumptions!$B$5,"Before",IF(H30&gt;Assumptions!$C$48,"After",INT((H30-Assumptions!$B$5)/7)+1))</f>
        <v>2</v>
      </c>
      <c r="K30" s="175" t="inlineStr">
        <is>
          <t>Paid 6 Oct - in the bank, in the actuals.</t>
        </is>
      </c>
    </row>
    <row r="31">
      <c r="A31" s="170" t="inlineStr">
        <is>
          <t>PwC Services</t>
        </is>
      </c>
      <c r="B31" s="170" t="inlineStr">
        <is>
          <t>INV-10572</t>
        </is>
      </c>
      <c r="C31" s="170" t="inlineStr">
        <is>
          <t>PO2601702371 (Aug)</t>
        </is>
      </c>
      <c r="D31" s="171" t="n">
        <v>46265</v>
      </c>
      <c r="E31" s="171" t="n">
        <v>46295</v>
      </c>
      <c r="F31" s="172" t="n">
        <v>7865</v>
      </c>
      <c r="G31" s="173" t="inlineStr">
        <is>
          <t>Paid 29 Sep</t>
        </is>
      </c>
      <c r="H31" s="171" t="n">
        <v>46294</v>
      </c>
      <c r="I31" s="174">
        <f>H31-E31</f>
        <v>-1</v>
      </c>
      <c r="J31" s="170">
        <f>IF(H31&lt;Assumptions!$B$5,"Before",IF(H31&gt;Assumptions!$C$48,"After",INT((H31-Assumptions!$B$5)/7)+1))</f>
        <v>1</v>
      </c>
      <c r="K31" s="175" t="inlineStr">
        <is>
          <t>Paid 29 Sep - in the bank, in the actuals.</t>
        </is>
      </c>
    </row>
    <row r="32">
      <c r="A32" s="170" t="inlineStr">
        <is>
          <t>PwC Services</t>
        </is>
      </c>
      <c r="B32" s="170" t="inlineStr">
        <is>
          <t>INV-10585</t>
        </is>
      </c>
      <c r="C32" s="170" t="inlineStr">
        <is>
          <t>PO2601702104 (Aug)</t>
        </is>
      </c>
      <c r="D32" s="171" t="n">
        <v>46265</v>
      </c>
      <c r="E32" s="171" t="n">
        <v>46295</v>
      </c>
      <c r="F32" s="172" t="n">
        <v>13097.7</v>
      </c>
      <c r="G32" s="173" t="inlineStr">
        <is>
          <t>Paid 29 Sep</t>
        </is>
      </c>
      <c r="H32" s="171" t="n">
        <v>46294</v>
      </c>
      <c r="I32" s="174">
        <f>H32-E32</f>
        <v>-1</v>
      </c>
      <c r="J32" s="170">
        <f>IF(H32&lt;Assumptions!$B$5,"Before",IF(H32&gt;Assumptions!$C$48,"After",INT((H32-Assumptions!$B$5)/7)+1))</f>
        <v>1</v>
      </c>
      <c r="K32" s="175" t="inlineStr">
        <is>
          <t>Paid 29 Sep - in the bank, in the actuals.</t>
        </is>
      </c>
    </row>
    <row r="33">
      <c r="A33" s="170" t="inlineStr">
        <is>
          <t>Ricoh Australia</t>
        </is>
      </c>
      <c r="B33" s="170" t="inlineStr">
        <is>
          <t>INV-10618</t>
        </is>
      </c>
      <c r="C33" s="170" t="inlineStr">
        <is>
          <t>CONTRACT (Aug)</t>
        </is>
      </c>
      <c r="D33" s="171" t="n">
        <v>46265</v>
      </c>
      <c r="E33" s="171" t="n">
        <v>46295</v>
      </c>
      <c r="F33" s="172" t="n">
        <v>13046.62</v>
      </c>
      <c r="G33" s="173" t="inlineStr">
        <is>
          <t>Paid 1 Oct</t>
        </is>
      </c>
      <c r="H33" s="171" t="n">
        <v>46296</v>
      </c>
      <c r="I33" s="174">
        <f>H33-E33</f>
        <v>1</v>
      </c>
      <c r="J33" s="170">
        <f>IF(H33&lt;Assumptions!$B$5,"Before",IF(H33&gt;Assumptions!$C$48,"After",INT((H33-Assumptions!$B$5)/7)+1))</f>
        <v>1</v>
      </c>
      <c r="K33" s="175" t="inlineStr">
        <is>
          <t>Paid 1 Oct - in the bank, in the actuals.</t>
        </is>
      </c>
    </row>
    <row r="34">
      <c r="A34" s="170" t="inlineStr">
        <is>
          <t>Ricoh Australia</t>
        </is>
      </c>
      <c r="B34" s="170" t="inlineStr">
        <is>
          <t>INV-10620</t>
        </is>
      </c>
      <c r="C34" s="170" t="inlineStr">
        <is>
          <t>SHELL AV Support</t>
        </is>
      </c>
      <c r="D34" s="171" t="n">
        <v>46268</v>
      </c>
      <c r="E34" s="171" t="n">
        <v>46298</v>
      </c>
      <c r="F34" s="172" t="n">
        <v>374</v>
      </c>
      <c r="G34" s="173" t="inlineStr">
        <is>
          <t>Paid 8 Oct</t>
        </is>
      </c>
      <c r="H34" s="171" t="n">
        <v>46303</v>
      </c>
      <c r="I34" s="174">
        <f>H34-E34</f>
        <v>5</v>
      </c>
      <c r="J34" s="170">
        <f>IF(H34&lt;Assumptions!$B$5,"Before",IF(H34&gt;Assumptions!$C$48,"After",INT((H34-Assumptions!$B$5)/7)+1))</f>
        <v>2</v>
      </c>
      <c r="K34" s="175" t="inlineStr">
        <is>
          <t>Paid 8 Oct - in the bank, in the actuals.</t>
        </is>
      </c>
    </row>
    <row r="35">
      <c r="A35" s="170" t="inlineStr">
        <is>
          <t>The CEO Institute</t>
        </is>
      </c>
      <c r="B35" s="170" t="inlineStr">
        <is>
          <t>INV-10581</t>
        </is>
      </c>
      <c r="C35" s="170" t="inlineStr">
        <is>
          <t>CEO Connect 2026 11.8.26</t>
        </is>
      </c>
      <c r="D35" s="171" t="n">
        <v>46255</v>
      </c>
      <c r="E35" s="171" t="n">
        <v>46285</v>
      </c>
      <c r="F35" s="172" t="n">
        <v>9086.389999999999</v>
      </c>
      <c r="G35" s="173" t="inlineStr">
        <is>
          <t>Paid 9 Oct</t>
        </is>
      </c>
      <c r="H35" s="171" t="n">
        <v>46304</v>
      </c>
      <c r="I35" s="174">
        <f>H35-E35</f>
        <v>19</v>
      </c>
      <c r="J35" s="170">
        <f>IF(H35&lt;Assumptions!$B$5,"Before",IF(H35&gt;Assumptions!$C$48,"After",INT((H35-Assumptions!$B$5)/7)+1))</f>
        <v>2</v>
      </c>
      <c r="K35" s="175" t="inlineStr">
        <is>
          <t>Paid 9 Oct - in the bank, in the actuals.</t>
        </is>
      </c>
    </row>
    <row r="36">
      <c r="A36" s="18" t="inlineStr">
        <is>
          <t>Vega Global Australia</t>
        </is>
      </c>
      <c r="B36" s="18" t="inlineStr">
        <is>
          <t>INV-10647</t>
        </is>
      </c>
      <c r="C36" s="18" t="inlineStr">
        <is>
          <t>Payments &amp; Securities Forums 14-17.9.26</t>
        </is>
      </c>
      <c r="D36" s="137" t="n">
        <v>46287</v>
      </c>
      <c r="E36" s="137" t="n">
        <v>46317</v>
      </c>
      <c r="F36" s="138" t="n">
        <v>1969</v>
      </c>
      <c r="G36" s="33" t="inlineStr">
        <is>
          <t>Current</t>
        </is>
      </c>
      <c r="H36" s="137" t="n">
        <v>46317</v>
      </c>
      <c r="I36" s="45">
        <f>H36-E36</f>
        <v>0</v>
      </c>
      <c r="J36" s="18">
        <f>IF(H36&lt;Assumptions!$B$5,"Before",IF(H36&gt;Assumptions!$C$48,"After",INT((H36-Assumptions!$B$5)/7)+1))</f>
        <v>4</v>
      </c>
      <c r="K36" s="115" t="inlineStr">
        <is>
          <t>On the due date</t>
        </is>
      </c>
    </row>
    <row r="37">
      <c r="A37" s="170" t="inlineStr">
        <is>
          <t>Ventia</t>
        </is>
      </c>
      <c r="B37" s="170" t="inlineStr">
        <is>
          <t>INV-10557</t>
        </is>
      </c>
      <c r="C37" s="170" t="inlineStr">
        <is>
          <t>Ventia Awards 29-30.7.2026 (PO4701355678)</t>
        </is>
      </c>
      <c r="D37" s="171" t="n">
        <v>46234</v>
      </c>
      <c r="E37" s="171" t="n">
        <v>46264</v>
      </c>
      <c r="F37" s="172" t="n">
        <v>58024.76</v>
      </c>
      <c r="G37" s="173" t="inlineStr">
        <is>
          <t>Paid 29 Sep</t>
        </is>
      </c>
      <c r="H37" s="171" t="n">
        <v>46294</v>
      </c>
      <c r="I37" s="174">
        <f>H37-E37</f>
        <v>30</v>
      </c>
      <c r="J37" s="170">
        <f>IF(H37&lt;Assumptions!$B$5,"Before",IF(H37&gt;Assumptions!$C$48,"After",INT((H37-Assumptions!$B$5)/7)+1))</f>
        <v>1</v>
      </c>
      <c r="K37" s="175" t="inlineStr">
        <is>
          <t>Paid 29 Sep - in the bank, in the actuals.</t>
        </is>
      </c>
    </row>
    <row r="38">
      <c r="A38" s="18" t="inlineStr">
        <is>
          <t>Ventia</t>
        </is>
      </c>
      <c r="B38" s="18" t="inlineStr">
        <is>
          <t>INV-10612</t>
        </is>
      </c>
      <c r="C38" s="18" t="inlineStr">
        <is>
          <t>Half Year Results Briefing 24.08.2026</t>
        </is>
      </c>
      <c r="D38" s="137" t="n">
        <v>46265</v>
      </c>
      <c r="E38" s="137" t="n">
        <v>46295</v>
      </c>
      <c r="F38" s="138" t="n">
        <v>11919.04</v>
      </c>
      <c r="G38" s="33" t="inlineStr">
        <is>
          <t>Current</t>
        </is>
      </c>
      <c r="H38" s="137" t="n">
        <v>46316</v>
      </c>
      <c r="I38" s="45">
        <f>H38-E38</f>
        <v>21</v>
      </c>
      <c r="J38" s="18">
        <f>IF(H38&lt;Assumptions!$B$5,"Before",IF(H38&gt;Assumptions!$C$48,"After",INT((H38-Assumptions!$B$5)/7)+1))</f>
        <v>4</v>
      </c>
      <c r="K38" s="115" t="inlineStr">
        <is>
          <t>Ventia are running ~3 weeks late</t>
        </is>
      </c>
    </row>
    <row r="39">
      <c r="A39" s="18" t="inlineStr">
        <is>
          <t>Ventia</t>
        </is>
      </c>
      <c r="B39" s="18" t="inlineStr">
        <is>
          <t>INV-10593</t>
        </is>
      </c>
      <c r="C39" s="18" t="inlineStr">
        <is>
          <t>Employee HYR Town Hall 24.08.2026</t>
        </is>
      </c>
      <c r="D39" s="137" t="n">
        <v>46265</v>
      </c>
      <c r="E39" s="137" t="n">
        <v>46295</v>
      </c>
      <c r="F39" s="138" t="n">
        <v>14741.65</v>
      </c>
      <c r="G39" s="33" t="inlineStr">
        <is>
          <t>Current</t>
        </is>
      </c>
      <c r="H39" s="137" t="n">
        <v>46316</v>
      </c>
      <c r="I39" s="45">
        <f>H39-E39</f>
        <v>21</v>
      </c>
      <c r="J39" s="18">
        <f>IF(H39&lt;Assumptions!$B$5,"Before",IF(H39&gt;Assumptions!$C$48,"After",INT((H39-Assumptions!$B$5)/7)+1))</f>
        <v>4</v>
      </c>
      <c r="K39" s="115" t="inlineStr">
        <is>
          <t>Ventia are running ~3 weeks late</t>
        </is>
      </c>
    </row>
    <row r="40">
      <c r="A40" s="18" t="inlineStr">
        <is>
          <t>Ventia</t>
        </is>
      </c>
      <c r="B40" s="18" t="inlineStr">
        <is>
          <t>INV-10632</t>
        </is>
      </c>
      <c r="C40" s="18" t="inlineStr">
        <is>
          <t>RUOK? Day Event 10.09.2026</t>
        </is>
      </c>
      <c r="D40" s="137" t="n">
        <v>46281</v>
      </c>
      <c r="E40" s="137" t="n">
        <v>46311</v>
      </c>
      <c r="F40" s="138" t="n">
        <v>10015.89</v>
      </c>
      <c r="G40" s="33" t="inlineStr">
        <is>
          <t>Current</t>
        </is>
      </c>
      <c r="H40" s="137" t="n">
        <v>46325</v>
      </c>
      <c r="I40" s="45">
        <f>H40-E40</f>
        <v>14</v>
      </c>
      <c r="J40" s="18">
        <f>IF(H40&lt;Assumptions!$B$5,"Before",IF(H40&gt;Assumptions!$C$48,"After",INT((H40-Assumptions!$B$5)/7)+1))</f>
        <v>5</v>
      </c>
      <c r="K40" s="115" t="inlineStr">
        <is>
          <t>Two weeks after due</t>
        </is>
      </c>
    </row>
    <row r="41">
      <c r="A41" s="18" t="inlineStr">
        <is>
          <t>YSG Studio</t>
        </is>
      </c>
      <c r="B41" s="18" t="inlineStr">
        <is>
          <t>INV-10601</t>
        </is>
      </c>
      <c r="C41" s="18" t="inlineStr">
        <is>
          <t>Orange Room AV upgrade - labour</t>
        </is>
      </c>
      <c r="D41" s="137" t="n">
        <v>46261</v>
      </c>
      <c r="E41" s="137" t="n">
        <v>46291</v>
      </c>
      <c r="F41" s="138" t="n">
        <v>4908.2</v>
      </c>
      <c r="G41" s="33" t="inlineStr">
        <is>
          <t>Overdue</t>
        </is>
      </c>
      <c r="H41" s="137" t="n">
        <v>46311</v>
      </c>
      <c r="I41" s="45">
        <f>H41-E41</f>
        <v>20</v>
      </c>
      <c r="J41" s="18">
        <f>IF(H41&lt;Assumptions!$B$5,"Before",IF(H41&gt;Assumptions!$C$48,"After",INT((H41-Assumptions!$B$5)/7)+1))</f>
        <v>3</v>
      </c>
      <c r="K41" s="115" t="inlineStr">
        <is>
          <t>Still not in at 12 Oct - chase. Fri 16 Oct.</t>
        </is>
      </c>
    </row>
    <row r="42">
      <c r="A42" s="18" t="inlineStr">
        <is>
          <t>YSG Studio</t>
        </is>
      </c>
      <c r="B42" s="18" t="inlineStr">
        <is>
          <t>INV-10653</t>
        </is>
      </c>
      <c r="C42" s="18" t="inlineStr">
        <is>
          <t>YSG Studio Phase 4</t>
        </is>
      </c>
      <c r="D42" s="137" t="n">
        <v>46290</v>
      </c>
      <c r="E42" s="137" t="n">
        <v>46320</v>
      </c>
      <c r="F42" s="138" t="n">
        <v>1116.5</v>
      </c>
      <c r="G42" s="33" t="inlineStr">
        <is>
          <t>Current</t>
        </is>
      </c>
      <c r="H42" s="137" t="n">
        <v>46325</v>
      </c>
      <c r="I42" s="45">
        <f>H42-E42</f>
        <v>5</v>
      </c>
      <c r="J42" s="18">
        <f>IF(H42&lt;Assumptions!$B$5,"Before",IF(H42&gt;Assumptions!$C$48,"After",INT((H42-Assumptions!$B$5)/7)+1))</f>
        <v>5</v>
      </c>
      <c r="K42" s="115" t="inlineStr">
        <is>
          <t>A few days after due</t>
        </is>
      </c>
    </row>
    <row r="43" ht="24" customHeight="1" s="109">
      <c r="A43" s="170" t="inlineStr">
        <is>
          <t>Deloitte Services Trust</t>
        </is>
      </c>
      <c r="B43" s="170" t="inlineStr">
        <is>
          <t>INV-10638</t>
        </is>
      </c>
      <c r="C43" s="170" t="inlineStr">
        <is>
          <t>DTTL Sep contract (PO) - raised 30 Sep</t>
        </is>
      </c>
      <c r="D43" s="171" t="n">
        <v>46295</v>
      </c>
      <c r="E43" s="171" t="n">
        <v>46325</v>
      </c>
      <c r="F43" s="172" t="n">
        <v>112683.22</v>
      </c>
      <c r="G43" s="173" t="inlineStr">
        <is>
          <t>Paid 8 Oct</t>
        </is>
      </c>
      <c r="H43" s="171" t="n">
        <v>46303</v>
      </c>
      <c r="I43" s="174">
        <f>H43-E43</f>
        <v>-22</v>
      </c>
      <c r="J43" s="170">
        <f>IF(H43&lt;Assumptions!$B$5,"Before",IF(H43&gt;Assumptions!$C$48,"After",INT((H43-Assumptions!$B$5)/7)+1))</f>
        <v>2</v>
      </c>
      <c r="K43" s="175" t="inlineStr">
        <is>
          <t>Paid 8 Oct - Deloitte pay about a week after we invoice.</t>
        </is>
      </c>
    </row>
    <row r="44">
      <c r="A44" s="170" t="inlineStr">
        <is>
          <t>Deloitte Services Trust</t>
        </is>
      </c>
      <c r="B44" s="170" t="inlineStr">
        <is>
          <t>INV-10665</t>
        </is>
      </c>
      <c r="C44" s="170" t="inlineStr">
        <is>
          <t>DTTL Sep additionals - raised 30 Sep</t>
        </is>
      </c>
      <c r="D44" s="171" t="n">
        <v>46295</v>
      </c>
      <c r="E44" s="171" t="n">
        <v>46325</v>
      </c>
      <c r="F44" s="172" t="n">
        <v>18891.66</v>
      </c>
      <c r="G44" s="173" t="inlineStr">
        <is>
          <t>Paid 8 Oct</t>
        </is>
      </c>
      <c r="H44" s="171" t="n">
        <v>46303</v>
      </c>
      <c r="I44" s="174">
        <f>H44-E44</f>
        <v>-22</v>
      </c>
      <c r="J44" s="170">
        <f>IF(H44&lt;Assumptions!$B$5,"Before",IF(H44&gt;Assumptions!$C$48,"After",INT((H44-Assumptions!$B$5)/7)+1))</f>
        <v>2</v>
      </c>
      <c r="K44" s="175" t="inlineStr">
        <is>
          <t>Paid 8 Oct with the contract one.</t>
        </is>
      </c>
    </row>
    <row r="45">
      <c r="A45" s="18" t="inlineStr">
        <is>
          <t>Commonwealth Bank (CBA Place South)</t>
        </is>
      </c>
      <c r="B45" s="18" t="inlineStr">
        <is>
          <t>INV-10643</t>
        </is>
      </c>
      <c r="C45" s="18" t="inlineStr">
        <is>
          <t>85720001CBPSCSJUN27 - Sep contract</t>
        </is>
      </c>
      <c r="D45" s="137" t="n">
        <v>46295</v>
      </c>
      <c r="E45" s="137" t="n">
        <v>46325</v>
      </c>
      <c r="F45" s="138" t="n">
        <v>24619.84</v>
      </c>
      <c r="G45" s="33" t="inlineStr">
        <is>
          <t>Current</t>
        </is>
      </c>
      <c r="H45" s="137" t="n">
        <v>46311</v>
      </c>
      <c r="I45" s="45">
        <f>H45-E45</f>
        <v>-14</v>
      </c>
      <c r="J45" s="18">
        <f>IF(H45&lt;Assumptions!$B$5,"Before",IF(H45&gt;Assumptions!$C$48,"After",INT((H45-Assumptions!$B$5)/7)+1))</f>
        <v>3</v>
      </c>
      <c r="K45" s="115" t="inlineStr">
        <is>
          <t>Aug one was paid 8 days after invoice. Not in yet at 12 Oct - call it Fri 16 Oct.</t>
        </is>
      </c>
    </row>
    <row r="46">
      <c r="A46" s="18" t="inlineStr">
        <is>
          <t>Commonwealth Bank (CBA Place South)</t>
        </is>
      </c>
      <c r="B46" s="18" t="inlineStr">
        <is>
          <t>INV-10657 to 10662</t>
        </is>
      </c>
      <c r="C46" s="18" t="inlineStr">
        <is>
          <t>Sep dedicated tech + after hours (6 small invoices)</t>
        </is>
      </c>
      <c r="D46" s="137" t="n">
        <v>46295</v>
      </c>
      <c r="E46" s="137" t="n">
        <v>46325</v>
      </c>
      <c r="F46" s="138" t="n">
        <v>3432</v>
      </c>
      <c r="G46" s="33" t="inlineStr">
        <is>
          <t>Current</t>
        </is>
      </c>
      <c r="H46" s="137" t="n">
        <v>46311</v>
      </c>
      <c r="I46" s="45">
        <f>H46-E46</f>
        <v>-14</v>
      </c>
      <c r="J46" s="18">
        <f>IF(H46&lt;Assumptions!$B$5,"Before",IF(H46&gt;Assumptions!$C$48,"After",INT((H46-Assumptions!$B$5)/7)+1))</f>
        <v>3</v>
      </c>
      <c r="K46" s="115" t="inlineStr">
        <is>
          <t>$1,188 + 4 x $467.50 + $374. With the contract one.</t>
        </is>
      </c>
    </row>
    <row r="47">
      <c r="A47" s="18" t="inlineStr">
        <is>
          <t>Commonwealth Bank (CBA Place South)</t>
        </is>
      </c>
      <c r="B47" s="18" t="inlineStr">
        <is>
          <t>INV-10675</t>
        </is>
      </c>
      <c r="C47" s="18" t="inlineStr">
        <is>
          <t>Live event support Sep (PO3317501)</t>
        </is>
      </c>
      <c r="D47" s="137" t="n">
        <v>46295</v>
      </c>
      <c r="E47" s="137" t="n">
        <v>46325</v>
      </c>
      <c r="F47" s="138" t="n">
        <v>5398.25</v>
      </c>
      <c r="G47" s="33" t="inlineStr">
        <is>
          <t>Current</t>
        </is>
      </c>
      <c r="H47" s="137" t="n">
        <v>46311</v>
      </c>
      <c r="I47" s="45">
        <f>H47-E47</f>
        <v>-14</v>
      </c>
      <c r="J47" s="18">
        <f>IF(H47&lt;Assumptions!$B$5,"Before",IF(H47&gt;Assumptions!$C$48,"After",INT((H47-Assumptions!$B$5)/7)+1))</f>
        <v>3</v>
      </c>
      <c r="K47" s="115" t="inlineStr">
        <is>
          <t>With the contract one.</t>
        </is>
      </c>
    </row>
    <row r="48">
      <c r="A48" s="18" t="inlineStr">
        <is>
          <t>Commonwealth Bank (CBA Square)</t>
        </is>
      </c>
      <c r="B48" s="18" t="inlineStr">
        <is>
          <t>INV-10637</t>
        </is>
      </c>
      <c r="C48" s="18" t="inlineStr">
        <is>
          <t>85720001CBSCSJUN27 - Sep contract</t>
        </is>
      </c>
      <c r="D48" s="137" t="n">
        <v>46295</v>
      </c>
      <c r="E48" s="137" t="n">
        <v>46325</v>
      </c>
      <c r="F48" s="138" t="n">
        <v>11792</v>
      </c>
      <c r="G48" s="33" t="inlineStr">
        <is>
          <t>Current</t>
        </is>
      </c>
      <c r="H48" s="137" t="n">
        <v>46311</v>
      </c>
      <c r="I48" s="45">
        <f>H48-E48</f>
        <v>-14</v>
      </c>
      <c r="J48" s="18">
        <f>IF(H48&lt;Assumptions!$B$5,"Before",IF(H48&gt;Assumptions!$C$48,"After",INT((H48-Assumptions!$B$5)/7)+1))</f>
        <v>3</v>
      </c>
      <c r="K48" s="115" t="inlineStr">
        <is>
          <t>Same as Place South.</t>
        </is>
      </c>
    </row>
    <row r="49">
      <c r="A49" s="18" t="inlineStr">
        <is>
          <t>Commonwealth Bank (CBA Melbourne)</t>
        </is>
      </c>
      <c r="B49" s="18" t="inlineStr">
        <is>
          <t>INV-10644</t>
        </is>
      </c>
      <c r="C49" s="18" t="inlineStr">
        <is>
          <t>85720001MEL435CSJUN27 - Sep contract</t>
        </is>
      </c>
      <c r="D49" s="137" t="n">
        <v>46295</v>
      </c>
      <c r="E49" s="137" t="n">
        <v>46325</v>
      </c>
      <c r="F49" s="138" t="n">
        <v>12995.72</v>
      </c>
      <c r="G49" s="33" t="inlineStr">
        <is>
          <t>Current</t>
        </is>
      </c>
      <c r="H49" s="137" t="n">
        <v>46311</v>
      </c>
      <c r="I49" s="45">
        <f>H49-E49</f>
        <v>-14</v>
      </c>
      <c r="J49" s="18">
        <f>IF(H49&lt;Assumptions!$B$5,"Before",IF(H49&gt;Assumptions!$C$48,"After",INT((H49-Assumptions!$B$5)/7)+1))</f>
        <v>3</v>
      </c>
      <c r="K49" s="115" t="inlineStr">
        <is>
          <t>Same. (Their $93.50 one was paid 6 Oct.)</t>
        </is>
      </c>
    </row>
    <row r="50">
      <c r="A50" s="18" t="inlineStr">
        <is>
          <t>Bankwest</t>
        </is>
      </c>
      <c r="B50" s="18" t="inlineStr">
        <is>
          <t>INV-10640</t>
        </is>
      </c>
      <c r="C50" s="18" t="inlineStr">
        <is>
          <t>85720001BWPCSJUN27 - Sep additionals</t>
        </is>
      </c>
      <c r="D50" s="137" t="n">
        <v>46295</v>
      </c>
      <c r="E50" s="137" t="n">
        <v>46325</v>
      </c>
      <c r="F50" s="138" t="n">
        <v>4752</v>
      </c>
      <c r="G50" s="33" t="inlineStr">
        <is>
          <t>Current</t>
        </is>
      </c>
      <c r="H50" s="137" t="n">
        <v>46311</v>
      </c>
      <c r="I50" s="45">
        <f>H50-E50</f>
        <v>-14</v>
      </c>
      <c r="J50" s="18">
        <f>IF(H50&lt;Assumptions!$B$5,"Before",IF(H50&gt;Assumptions!$C$48,"After",INT((H50-Assumptions!$B$5)/7)+1))</f>
        <v>3</v>
      </c>
      <c r="K50" s="115" t="inlineStr">
        <is>
          <t>Bankwest paid the Sep contract one ($13,156) on 2 Oct. This is the additionals - give it to Fri 16 Oct.</t>
        </is>
      </c>
    </row>
    <row r="51">
      <c r="A51" s="18" t="inlineStr">
        <is>
          <t>PwC Services</t>
        </is>
      </c>
      <c r="B51" s="18" t="inlineStr">
        <is>
          <t>INV-10655</t>
        </is>
      </c>
      <c r="C51" s="18" t="inlineStr">
        <is>
          <t>PO2601702104 - Sep contract</t>
        </is>
      </c>
      <c r="D51" s="137" t="n">
        <v>46295</v>
      </c>
      <c r="E51" s="137" t="n">
        <v>46325</v>
      </c>
      <c r="F51" s="138" t="n">
        <v>13097.7</v>
      </c>
      <c r="G51" s="33" t="inlineStr">
        <is>
          <t>Current</t>
        </is>
      </c>
      <c r="H51" s="137" t="n">
        <v>46325</v>
      </c>
      <c r="I51" s="45">
        <f>H51-E51</f>
        <v>0</v>
      </c>
      <c r="J51" s="18">
        <f>IF(H51&lt;Assumptions!$B$5,"Before",IF(H51&gt;Assumptions!$C$48,"After",INT((H51-Assumptions!$B$5)/7)+1))</f>
        <v>5</v>
      </c>
      <c r="K51" s="115" t="inlineStr">
        <is>
          <t>PwC paid the Aug ones on 29 Sep (the due date). On the due date, week 5.</t>
        </is>
      </c>
    </row>
    <row r="52">
      <c r="A52" s="18" t="inlineStr">
        <is>
          <t>PwC Services</t>
        </is>
      </c>
      <c r="B52" s="18" t="inlineStr">
        <is>
          <t>INV-10654</t>
        </is>
      </c>
      <c r="C52" s="18" t="inlineStr">
        <is>
          <t>PO2601703509 - Sep</t>
        </is>
      </c>
      <c r="D52" s="137" t="n">
        <v>46295</v>
      </c>
      <c r="E52" s="137" t="n">
        <v>46325</v>
      </c>
      <c r="F52" s="138" t="n">
        <v>8415</v>
      </c>
      <c r="G52" s="33" t="inlineStr">
        <is>
          <t>Current</t>
        </is>
      </c>
      <c r="H52" s="137" t="n">
        <v>46325</v>
      </c>
      <c r="I52" s="45">
        <f>H52-E52</f>
        <v>0</v>
      </c>
      <c r="J52" s="18">
        <f>IF(H52&lt;Assumptions!$B$5,"Before",IF(H52&gt;Assumptions!$C$48,"After",INT((H52-Assumptions!$B$5)/7)+1))</f>
        <v>5</v>
      </c>
      <c r="K52" s="115" t="inlineStr">
        <is>
          <t>On the due date, week 5.</t>
        </is>
      </c>
    </row>
    <row r="53">
      <c r="A53" s="18" t="inlineStr">
        <is>
          <t>PwC Services</t>
        </is>
      </c>
      <c r="B53" s="18" t="inlineStr">
        <is>
          <t>INV-10641</t>
        </is>
      </c>
      <c r="C53" s="18" t="inlineStr">
        <is>
          <t>PO2601702371 - Sep contract</t>
        </is>
      </c>
      <c r="D53" s="137" t="n">
        <v>46295</v>
      </c>
      <c r="E53" s="137" t="n">
        <v>46325</v>
      </c>
      <c r="F53" s="138" t="n">
        <v>7865</v>
      </c>
      <c r="G53" s="33" t="inlineStr">
        <is>
          <t>Current</t>
        </is>
      </c>
      <c r="H53" s="137" t="n">
        <v>46325</v>
      </c>
      <c r="I53" s="45">
        <f>H53-E53</f>
        <v>0</v>
      </c>
      <c r="J53" s="18">
        <f>IF(H53&lt;Assumptions!$B$5,"Before",IF(H53&gt;Assumptions!$C$48,"After",INT((H53-Assumptions!$B$5)/7)+1))</f>
        <v>5</v>
      </c>
      <c r="K53" s="115" t="inlineStr">
        <is>
          <t>On the due date, week 5.</t>
        </is>
      </c>
    </row>
    <row r="54">
      <c r="A54" s="18" t="inlineStr">
        <is>
          <t>Aware Super</t>
        </is>
      </c>
      <c r="B54" s="18" t="inlineStr">
        <is>
          <t>INV-10652</t>
        </is>
      </c>
      <c r="C54" s="18" t="inlineStr">
        <is>
          <t>Annual National Maintenance - September</t>
        </is>
      </c>
      <c r="D54" s="137" t="n">
        <v>46295</v>
      </c>
      <c r="E54" s="137" t="n">
        <v>46325</v>
      </c>
      <c r="F54" s="138" t="n">
        <v>12100</v>
      </c>
      <c r="G54" s="33" t="inlineStr">
        <is>
          <t>Current</t>
        </is>
      </c>
      <c r="H54" s="137" t="n">
        <v>46325</v>
      </c>
      <c r="I54" s="45">
        <f>H54-E54</f>
        <v>0</v>
      </c>
      <c r="J54" s="18">
        <f>IF(H54&lt;Assumptions!$B$5,"Before",IF(H54&gt;Assumptions!$C$48,"After",INT((H54-Assumptions!$B$5)/7)+1))</f>
        <v>5</v>
      </c>
      <c r="K54" s="115" t="inlineStr">
        <is>
          <t>Aware pay on the due date - but the Aug one is still sitting there, so watch it.</t>
        </is>
      </c>
    </row>
    <row r="55">
      <c r="A55" s="18" t="inlineStr">
        <is>
          <t>Generation-e Productivity Solutions</t>
        </is>
      </c>
      <c r="B55" s="18" t="inlineStr">
        <is>
          <t>INV-10642</t>
        </is>
      </c>
      <c r="C55" s="18" t="inlineStr">
        <is>
          <t>PAU26-407 - Sep</t>
        </is>
      </c>
      <c r="D55" s="137" t="n">
        <v>46295</v>
      </c>
      <c r="E55" s="137" t="n">
        <v>46325</v>
      </c>
      <c r="F55" s="138" t="n">
        <v>13627.68</v>
      </c>
      <c r="G55" s="33" t="inlineStr">
        <is>
          <t>Current</t>
        </is>
      </c>
      <c r="H55" s="137" t="n">
        <v>46346</v>
      </c>
      <c r="I55" s="45">
        <f>H55-E55</f>
        <v>21</v>
      </c>
      <c r="J55" s="18" t="str">
        <f>IF(H55&lt;Assumptions!$B$5,"Before",IF(H55&gt;Assumptions!$C$48,"After",INT((H55-Assumptions!$B$5)/7)+1))</f>
        <v>After</v>
      </c>
      <c r="K55" s="115" t="inlineStr">
        <is>
          <t>Slow payers - 3 weeks after due, so after this forecast.</t>
        </is>
      </c>
    </row>
    <row r="56">
      <c r="A56" s="18" t="inlineStr">
        <is>
          <t>Automic Group</t>
        </is>
      </c>
      <c r="B56" s="18" t="inlineStr">
        <is>
          <t>INV-10663</t>
        </is>
      </c>
      <c r="C56" s="18" t="inlineStr">
        <is>
          <t>September All Hands 25.9.26</t>
        </is>
      </c>
      <c r="D56" s="137" t="n">
        <v>46294</v>
      </c>
      <c r="E56" s="137" t="n">
        <v>46324</v>
      </c>
      <c r="F56" s="138" t="n">
        <v>8775.799999999999</v>
      </c>
      <c r="G56" s="33" t="inlineStr">
        <is>
          <t>Current</t>
        </is>
      </c>
      <c r="H56" s="137" t="n">
        <v>46324</v>
      </c>
      <c r="I56" s="45">
        <f>H56-E56</f>
        <v>0</v>
      </c>
      <c r="J56" s="18">
        <f>IF(H56&lt;Assumptions!$B$5,"Before",IF(H56&gt;Assumptions!$C$48,"After",INT((H56-Assumptions!$B$5)/7)+1))</f>
        <v>5</v>
      </c>
      <c r="K56" s="115" t="inlineStr">
        <is>
          <t>New customer - on the due date, week 5.</t>
        </is>
      </c>
    </row>
    <row r="57">
      <c r="A57" s="18" t="inlineStr">
        <is>
          <t>ASX Operations</t>
        </is>
      </c>
      <c r="B57" s="18" t="inlineStr">
        <is>
          <t>INV-10668</t>
        </is>
      </c>
      <c r="C57" s="18" t="inlineStr">
        <is>
          <t>External listing test days 29.9.26</t>
        </is>
      </c>
      <c r="D57" s="137" t="n">
        <v>46295</v>
      </c>
      <c r="E57" s="137" t="n">
        <v>46325</v>
      </c>
      <c r="F57" s="138" t="n">
        <v>5747.5</v>
      </c>
      <c r="G57" s="33" t="inlineStr">
        <is>
          <t>Current</t>
        </is>
      </c>
      <c r="H57" s="137" t="n">
        <v>46328</v>
      </c>
      <c r="I57" s="45">
        <f>H57-E57</f>
        <v>3</v>
      </c>
      <c r="J57" s="18">
        <f>IF(H57&lt;Assumptions!$B$5,"Before",IF(H57&gt;Assumptions!$C$48,"After",INT((H57-Assumptions!$B$5)/7)+1))</f>
        <v>6</v>
      </c>
      <c r="K57" s="115" t="inlineStr">
        <is>
          <t>Due Fri 30 Oct, ASX run a day or two late - Mon 2 Nov.</t>
        </is>
      </c>
    </row>
    <row r="58">
      <c r="A58" s="18" t="inlineStr">
        <is>
          <t>Global Philanthropic</t>
        </is>
      </c>
      <c r="B58" s="18" t="inlineStr">
        <is>
          <t>INV-10669</t>
        </is>
      </c>
      <c r="C58" s="18" t="inlineStr">
        <is>
          <t>Talking Philanthropy event B-roll</t>
        </is>
      </c>
      <c r="D58" s="137" t="n">
        <v>46295</v>
      </c>
      <c r="E58" s="137" t="n">
        <v>46325</v>
      </c>
      <c r="F58" s="138" t="n">
        <v>1373.9</v>
      </c>
      <c r="G58" s="33" t="inlineStr">
        <is>
          <t>Current</t>
        </is>
      </c>
      <c r="H58" s="137" t="n">
        <v>46325</v>
      </c>
      <c r="I58" s="45">
        <f>H58-E58</f>
        <v>0</v>
      </c>
      <c r="J58" s="18">
        <f>IF(H58&lt;Assumptions!$B$5,"Before",IF(H58&gt;Assumptions!$C$48,"After",INT((H58-Assumptions!$B$5)/7)+1))</f>
        <v>5</v>
      </c>
      <c r="K58" s="115" t="inlineStr">
        <is>
          <t>On the due date, week 5.</t>
        </is>
      </c>
    </row>
    <row r="59">
      <c r="A59" s="18" t="inlineStr">
        <is>
          <t>Global Philanthropic</t>
        </is>
      </c>
      <c r="B59" s="18" t="inlineStr">
        <is>
          <t>INV-10670</t>
        </is>
      </c>
      <c r="C59" s="18" t="inlineStr">
        <is>
          <t>Talking Philanthropy Aus 18.09.2026</t>
        </is>
      </c>
      <c r="D59" s="137" t="n">
        <v>46295</v>
      </c>
      <c r="E59" s="137" t="n">
        <v>46325</v>
      </c>
      <c r="F59" s="138" t="n">
        <v>4343.9</v>
      </c>
      <c r="G59" s="33" t="inlineStr">
        <is>
          <t>Current</t>
        </is>
      </c>
      <c r="H59" s="137" t="n">
        <v>46325</v>
      </c>
      <c r="I59" s="45">
        <f>H59-E59</f>
        <v>0</v>
      </c>
      <c r="J59" s="18">
        <f>IF(H59&lt;Assumptions!$B$5,"Before",IF(H59&gt;Assumptions!$C$48,"After",INT((H59-Assumptions!$B$5)/7)+1))</f>
        <v>5</v>
      </c>
      <c r="K59" s="115" t="inlineStr">
        <is>
          <t>On the due date, week 5.</t>
        </is>
      </c>
    </row>
    <row r="60">
      <c r="A60" s="18" t="inlineStr">
        <is>
          <t>Australian Payments Network</t>
        </is>
      </c>
      <c r="B60" s="18" t="inlineStr">
        <is>
          <t>INV-10671</t>
        </is>
      </c>
      <c r="C60" s="18" t="inlineStr">
        <is>
          <t>AV support 21-22 Sep</t>
        </is>
      </c>
      <c r="D60" s="137" t="n">
        <v>46295</v>
      </c>
      <c r="E60" s="137" t="n">
        <v>46325</v>
      </c>
      <c r="F60" s="138" t="n">
        <v>748</v>
      </c>
      <c r="G60" s="33" t="inlineStr">
        <is>
          <t>Current</t>
        </is>
      </c>
      <c r="H60" s="137" t="n">
        <v>46325</v>
      </c>
      <c r="I60" s="45">
        <f>H60-E60</f>
        <v>0</v>
      </c>
      <c r="J60" s="18">
        <f>IF(H60&lt;Assumptions!$B$5,"Before",IF(H60&gt;Assumptions!$C$48,"After",INT((H60-Assumptions!$B$5)/7)+1))</f>
        <v>5</v>
      </c>
      <c r="K60" s="115" t="inlineStr">
        <is>
          <t>Paid the last one 11 days late - may slip past the forecast. Left on the due date.</t>
        </is>
      </c>
    </row>
    <row r="61">
      <c r="A61" s="18" t="inlineStr">
        <is>
          <t>ICC Sydney</t>
        </is>
      </c>
      <c r="B61" s="18" t="inlineStr">
        <is>
          <t>INV-10672</t>
        </is>
      </c>
      <c r="C61" s="18" t="inlineStr">
        <is>
          <t>Speaker presentation technicians Sep (TTS)</t>
        </is>
      </c>
      <c r="D61" s="137" t="n">
        <v>46295</v>
      </c>
      <c r="E61" s="137" t="n">
        <v>46325</v>
      </c>
      <c r="F61" s="138" t="n">
        <v>4100.26</v>
      </c>
      <c r="G61" s="33" t="inlineStr">
        <is>
          <t>Current</t>
        </is>
      </c>
      <c r="H61" s="137" t="n">
        <v>46325</v>
      </c>
      <c r="I61" s="45">
        <f>H61-E61</f>
        <v>0</v>
      </c>
      <c r="J61" s="18">
        <f>IF(H61&lt;Assumptions!$B$5,"Before",IF(H61&gt;Assumptions!$C$48,"After",INT((H61-Assumptions!$B$5)/7)+1))</f>
        <v>5</v>
      </c>
      <c r="K61" s="115" t="inlineStr">
        <is>
          <t>ICC pay on the due date.</t>
        </is>
      </c>
    </row>
    <row r="62">
      <c r="A62" s="18" t="inlineStr">
        <is>
          <t>ICC Sydney</t>
        </is>
      </c>
      <c r="B62" s="18" t="inlineStr">
        <is>
          <t>INV-10674</t>
        </is>
      </c>
      <c r="C62" s="18" t="inlineStr">
        <is>
          <t>Speaker presentation technicians Sep (CommBio)</t>
        </is>
      </c>
      <c r="D62" s="137" t="n">
        <v>46295</v>
      </c>
      <c r="E62" s="137" t="n">
        <v>46325</v>
      </c>
      <c r="F62" s="138" t="n">
        <v>2448.88</v>
      </c>
      <c r="G62" s="33" t="inlineStr">
        <is>
          <t>Current</t>
        </is>
      </c>
      <c r="H62" s="137" t="n">
        <v>46325</v>
      </c>
      <c r="I62" s="45">
        <f>H62-E62</f>
        <v>0</v>
      </c>
      <c r="J62" s="18">
        <f>IF(H62&lt;Assumptions!$B$5,"Before",IF(H62&gt;Assumptions!$C$48,"After",INT((H62-Assumptions!$B$5)/7)+1))</f>
        <v>5</v>
      </c>
      <c r="K62" s="115" t="inlineStr">
        <is>
          <t>ICC pay on the due date.</t>
        </is>
      </c>
    </row>
    <row r="63">
      <c r="A63" s="18" t="inlineStr">
        <is>
          <t>St Luke's Liverpool</t>
        </is>
      </c>
      <c r="B63" s="18" t="inlineStr">
        <is>
          <t>INV-10676</t>
        </is>
      </c>
      <c r="C63" s="18" t="inlineStr">
        <is>
          <t>Digital mixer equipment</t>
        </is>
      </c>
      <c r="D63" s="137" t="n">
        <v>46295</v>
      </c>
      <c r="E63" s="137" t="n">
        <v>46325</v>
      </c>
      <c r="F63" s="138" t="n">
        <v>4988.5</v>
      </c>
      <c r="G63" s="33" t="inlineStr">
        <is>
          <t>Current</t>
        </is>
      </c>
      <c r="H63" s="137" t="n">
        <v>46325</v>
      </c>
      <c r="I63" s="45">
        <f>H63-E63</f>
        <v>0</v>
      </c>
      <c r="J63" s="18">
        <f>IF(H63&lt;Assumptions!$B$5,"Before",IF(H63&gt;Assumptions!$C$48,"After",INT((H63-Assumptions!$B$5)/7)+1))</f>
        <v>5</v>
      </c>
      <c r="K63" s="115" t="inlineStr">
        <is>
          <t>New - on the due date, week 5.</t>
        </is>
      </c>
    </row>
    <row r="64">
      <c r="A64" s="18" t="n"/>
      <c r="B64" s="18" t="n"/>
      <c r="C64" s="18" t="n"/>
      <c r="D64" s="137" t="n"/>
      <c r="E64" s="137" t="n"/>
      <c r="F64" s="138" t="n"/>
      <c r="G64" s="33" t="n"/>
      <c r="H64" s="137" t="n"/>
      <c r="I64" s="45" t="n"/>
      <c r="J64" s="18" t="n"/>
      <c r="K64" s="115" t="n"/>
    </row>
    <row r="65">
      <c r="A65" s="18" t="n"/>
      <c r="B65" s="18" t="n"/>
      <c r="C65" s="18" t="n"/>
      <c r="D65" s="137" t="n"/>
      <c r="E65" s="137" t="n"/>
      <c r="F65" s="138" t="n"/>
      <c r="G65" s="33" t="n"/>
      <c r="H65" s="137" t="n"/>
      <c r="I65" s="45" t="n"/>
      <c r="J65" s="18" t="n"/>
      <c r="K65" s="115" t="n"/>
    </row>
    <row r="66">
      <c r="A66" s="13" t="inlineStr">
        <is>
          <t>TOTAL</t>
        </is>
      </c>
      <c r="B66" s="16" t="n"/>
      <c r="C66" s="16" t="n"/>
      <c r="D66" s="16" t="n"/>
      <c r="E66" s="16" t="n"/>
      <c r="F66" s="142">
        <f>SUM(F5:F65)</f>
        <v>860711.6799999999</v>
      </c>
      <c r="G66" s="16" t="n"/>
      <c r="H66" s="16" t="n"/>
      <c r="I66" s="16" t="n"/>
      <c r="J66" s="16" t="n"/>
      <c r="K66" s="16" t="n"/>
    </row>
    <row r="67">
      <c r="A67" s="29" t="inlineStr">
        <is>
          <t>of which still open in Xero at 12 Oct (should be $583,424.49)</t>
        </is>
      </c>
      <c r="F67" s="143">
        <f>SUMPRODUCT((LEFT(G5:G65,4)&lt;&gt;"Paid")*F5:F65)</f>
        <v>583424.4900000001</v>
      </c>
    </row>
    <row r="68">
      <c r="A68" s="29" t="inlineStr">
        <is>
          <t>of which expected inside the forecast</t>
        </is>
      </c>
      <c r="F68" s="143">
        <f>SUMIFS(F5:F65,H5:H65,"&gt;="&amp;Assumptions!$B$5,H5:H65,"&lt;="&amp;Assumptions!$C$48)</f>
        <v>596388.0800000001</v>
      </c>
    </row>
    <row r="69">
      <c r="A69" s="29" t="inlineStr">
        <is>
          <t>of which pushed past the forecast (PwC Sep invoices, Meet Magic, Property NSW)</t>
        </is>
      </c>
      <c r="F69" s="143">
        <f>F66-F68</f>
        <v>264323.59999999986</v>
      </c>
    </row>
  </sheetData>
  <autoFilter ref="A4:K56"/>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O80"/>
  <sheetViews>
    <sheetView workbookViewId="0">
      <pane ySplit="18" topLeftCell="A20" activePane="bottomLeft" state="frozen"/>
      <selection pane="bottomLeft" activeCell="J6" sqref="J6"/>
    </sheetView>
  </sheetViews>
  <sheetFormatPr baseColWidth="8" defaultRowHeight="15"/>
  <cols>
    <col width="32" customWidth="1" style="109" min="1" max="1"/>
    <col width="48" customWidth="1" style="109" min="2" max="2"/>
    <col width="12" customWidth="1" style="109" min="3" max="3"/>
    <col width="14" customWidth="1" style="109" min="4" max="4"/>
    <col width="10" customWidth="1" style="109" min="5" max="5"/>
    <col width="24" customWidth="1" style="109" min="6" max="6"/>
    <col width="16" customWidth="1" style="109" min="7" max="7"/>
    <col width="8" customWidth="1" style="109" min="8" max="8"/>
    <col width="14" customWidth="1" style="109" min="9" max="9"/>
    <col width="62" customWidth="1" style="109" min="10" max="10"/>
  </cols>
  <sheetData>
    <row r="1" ht="18" customHeight="1" s="109">
      <c r="A1" s="1" t="inlineStr">
        <is>
          <t>Payables - every open bill, plus October's recurring bills not yet in Xero</t>
        </is>
      </c>
    </row>
    <row r="2" ht="39.95" customHeight="1" s="109">
      <c r="A2" s="115"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 Updated 12 Oct: the bills raised since 28 Sep (Brookvale insurance renewals, Contact Group, Luminous, Easton Belle, First Focus and RJW October) are added at the bottom of the list.</t>
        </is>
      </c>
    </row>
    <row r="4">
      <c r="A4" s="7" t="inlineStr">
        <is>
          <t>PAYMENTS THIS WEEK (8 - 14 Oct)</t>
        </is>
      </c>
      <c r="B4" s="114" t="n"/>
      <c r="C4" s="114" t="n"/>
      <c r="D4" s="114" t="n"/>
      <c r="E4" s="114" t="n"/>
      <c r="F4" s="114" t="n"/>
      <c r="G4" s="114" t="n"/>
      <c r="H4" s="114" t="n"/>
      <c r="I4" s="114" t="n"/>
      <c r="J4" s="114" t="n"/>
    </row>
    <row r="5">
      <c r="A5" s="9" t="inlineStr">
        <is>
          <t>Supplier</t>
        </is>
      </c>
      <c r="B5" s="9" t="inlineStr">
        <is>
          <t>Bill / reference</t>
        </is>
      </c>
      <c r="C5" s="9" t="inlineStr">
        <is>
          <t>Due date</t>
        </is>
      </c>
      <c r="D5" s="9" t="inlineStr">
        <is>
          <t>Amount (incl GST)</t>
        </is>
      </c>
      <c r="E5" s="9" t="inlineStr">
        <is>
          <t>Method</t>
        </is>
      </c>
      <c r="F5" s="9" t="inlineStr">
        <is>
          <t>Status</t>
        </is>
      </c>
      <c r="G5" s="9" t="inlineStr">
        <is>
          <t>Pay on</t>
        </is>
      </c>
      <c r="H5" s="9" t="n"/>
      <c r="I5" s="9" t="n"/>
      <c r="J5" s="9" t="inlineStr">
        <is>
          <t>Notes</t>
        </is>
      </c>
    </row>
    <row r="6" ht="72" customHeight="1" s="109">
      <c r="A6" s="48" t="inlineStr">
        <is>
          <t>Brookvale Insurance Brokers</t>
        </is>
      </c>
      <c r="B6" s="49" t="inlineStr">
        <is>
          <t>Six annual renewals - INV1918462, 1918336, 1918436, 1920058, 1920113, 1914759</t>
        </is>
      </c>
      <c r="C6" s="144" t="n">
        <v>46309</v>
      </c>
      <c r="D6" s="145">
        <f>SUM(D61:D66)</f>
        <v>66238.98</v>
      </c>
      <c r="E6" s="48" t="inlineStr">
        <is>
          <t>EFT</t>
        </is>
      </c>
      <c r="F6" s="52" t="inlineStr">
        <is>
          <t>AGREED - PAY</t>
        </is>
      </c>
      <c r="G6" s="146" t="n">
        <v>46309</v>
      </c>
      <c r="H6" s="54" t="n"/>
      <c r="I6" s="54" t="n"/>
      <c r="J6" s="55" t="inlineStr">
        <is>
          <t>GC approved all six. One payment Wed 14 Oct - $66,238.98. Not in the 29 Sep forecast at all.</t>
        </is>
      </c>
    </row>
    <row r="7">
      <c r="A7" s="56" t="str">
        <f>A45</f>
        <v>First Focus IT</v>
      </c>
      <c r="B7" s="57" t="str">
        <f>B45</f>
        <v>INV180546 - Managed Services Azure October</v>
      </c>
      <c r="C7" s="147">
        <f>C45</f>
        <v>46309</v>
      </c>
      <c r="D7" s="148">
        <f>D45</f>
        <v>692.84</v>
      </c>
      <c r="E7" s="56" t="str">
        <f>E45</f>
        <v>DD</v>
      </c>
      <c r="F7" s="22" t="inlineStr">
        <is>
          <t>Due this week</t>
        </is>
      </c>
      <c r="G7" s="149">
        <f>G45</f>
        <v>46309</v>
      </c>
      <c r="J7" s="115" t="inlineStr">
        <is>
          <t>First Focus Azure - DD on the due date</t>
        </is>
      </c>
    </row>
    <row r="8">
      <c r="A8" s="56" t="str">
        <f>A51</f>
        <v>The CEO Institute</v>
      </c>
      <c r="B8" s="57" t="str">
        <f>B51</f>
        <v>Syndicate membership (DL) - quarterly</v>
      </c>
      <c r="C8" s="147">
        <f>C51</f>
        <v>46303</v>
      </c>
      <c r="D8" s="148">
        <f>D51</f>
        <v>2310</v>
      </c>
      <c r="E8" s="56" t="str">
        <f>E51</f>
        <v>EFT</v>
      </c>
      <c r="F8" s="22" t="inlineStr">
        <is>
          <t>Due this week</t>
        </is>
      </c>
      <c r="G8" s="149">
        <f>G51</f>
        <v>46311</v>
      </c>
      <c r="J8" s="115" t="inlineStr">
        <is>
          <t>CEO Institute quarterly - no bill in Xero yet, check with DL</t>
        </is>
      </c>
      <c r="O8">
        <f>'Complete AV'!K19</f>
        <v>139086.22999999998</v>
      </c>
    </row>
    <row r="9" ht="25.5" customHeight="1" s="109">
      <c r="A9" s="56" t="str">
        <f>A23</f>
        <v>Employsure</v>
      </c>
      <c r="B9" s="57" t="str">
        <f>B23</f>
        <v>41 of 60</v>
      </c>
      <c r="C9" s="147">
        <f>C23</f>
        <v>46271</v>
      </c>
      <c r="D9" s="148">
        <f>D23</f>
        <v>880</v>
      </c>
      <c r="E9" s="56" t="str">
        <f>E23</f>
        <v>EFT</v>
      </c>
      <c r="F9" s="22" t="inlineStr">
        <is>
          <t>Due this week</t>
        </is>
      </c>
      <c r="G9" s="149">
        <f>G23</f>
        <v>46309</v>
      </c>
      <c r="J9" s="115" t="inlineStr">
        <is>
          <t>Employsure Sep (41 of 60) - still open, overdue</t>
        </is>
      </c>
      <c r="O9">
        <f>25155-5155</f>
        <v>20000</v>
      </c>
    </row>
    <row r="10">
      <c r="A10" s="176" t="str">
        <f>A26</f>
        <v>Eptura Australia</v>
      </c>
      <c r="B10" s="177" t="str">
        <f>B26</f>
        <v>INV-85230 - Proxyclick renewal APA VMS yr 2</v>
      </c>
      <c r="C10" s="178">
        <f>C26</f>
        <v>46296</v>
      </c>
      <c r="D10" s="179">
        <f>D26</f>
        <v>3627.04</v>
      </c>
      <c r="E10" s="176" t="str">
        <f>E26</f>
        <v>EFT</v>
      </c>
      <c r="F10" s="180" t="inlineStr">
        <is>
          <t>PAID 8 Oct</t>
        </is>
      </c>
      <c r="G10" s="181">
        <f>G26</f>
        <v>46303</v>
      </c>
      <c r="H10" s="182" t="n"/>
      <c r="I10" s="182" t="n"/>
      <c r="J10" s="175" t="inlineStr">
        <is>
          <t>Eptura - paid</t>
        </is>
      </c>
      <c r="O10">
        <f>O8-O9</f>
        <v>119086.22999999998</v>
      </c>
    </row>
    <row r="11">
      <c r="A11" s="176" t="str">
        <f>A49</f>
        <v>LiveU</v>
      </c>
      <c r="B11" s="177" t="str">
        <f>B49</f>
        <v>INV-19664 - SOLO standard data pack October</v>
      </c>
      <c r="C11" s="178">
        <f>C49</f>
        <v>46309</v>
      </c>
      <c r="D11" s="179">
        <f>D49</f>
        <v>1485</v>
      </c>
      <c r="E11" s="176" t="str">
        <f>E49</f>
        <v>EFT</v>
      </c>
      <c r="F11" s="180" t="inlineStr">
        <is>
          <t>PAID 8 Oct</t>
        </is>
      </c>
      <c r="G11" s="181">
        <f>G49</f>
        <v>46303</v>
      </c>
      <c r="H11" s="182" t="n"/>
      <c r="I11" s="182" t="n"/>
      <c r="J11" s="175" t="inlineStr">
        <is>
          <t>LiveU data pack - paid</t>
        </is>
      </c>
    </row>
    <row r="12">
      <c r="A12" s="176" t="str">
        <f>A32</f>
        <v>Optus</v>
      </c>
      <c r="B12" s="177" t="str">
        <f>B32</f>
        <v>INV000594999543 - staff mobiles Sep</v>
      </c>
      <c r="C12" s="178">
        <f>C32</f>
        <v>46307</v>
      </c>
      <c r="D12" s="179">
        <f>D32</f>
        <v>804.11</v>
      </c>
      <c r="E12" s="176" t="str">
        <f>E32</f>
        <v>BPAY</v>
      </c>
      <c r="F12" s="180" t="inlineStr">
        <is>
          <t>PAID 8 Oct</t>
        </is>
      </c>
      <c r="G12" s="181">
        <f>G32</f>
        <v>46303</v>
      </c>
      <c r="H12" s="182" t="n"/>
      <c r="I12" s="182" t="n"/>
      <c r="J12" s="175" t="inlineStr">
        <is>
          <t>Optus mobiles - BPAY, paid</t>
        </is>
      </c>
      <c r="O12">
        <f>O10+25155</f>
        <v>144241.22999999998</v>
      </c>
    </row>
    <row r="13">
      <c r="A13" s="176" t="str">
        <f>A52</f>
        <v>Telstra</v>
      </c>
      <c r="B13" s="177" t="str">
        <f>B52</f>
        <v>TTI20227626284 - Nighthawk charges October</v>
      </c>
      <c r="C13" s="178">
        <f>C52</f>
        <v>46307</v>
      </c>
      <c r="D13" s="179">
        <f>D52</f>
        <v>136</v>
      </c>
      <c r="E13" s="176" t="str">
        <f>E52</f>
        <v>EFT</v>
      </c>
      <c r="F13" s="180" t="inlineStr">
        <is>
          <t>PAID 8 Oct</t>
        </is>
      </c>
      <c r="G13" s="181">
        <f>G52</f>
        <v>46303</v>
      </c>
      <c r="H13" s="182" t="n"/>
      <c r="I13" s="182" t="n"/>
      <c r="J13" s="175" t="inlineStr">
        <is>
          <t>Telstra Nighthawk - BPAY, paid</t>
        </is>
      </c>
    </row>
    <row r="14">
      <c r="A14" s="176" t="str">
        <f>A21</f>
        <v>Complete AV Solutions</v>
      </c>
      <c r="B14" s="177" t="str">
        <f>B21</f>
        <v>INV41565 - Aware seminar room: LABOUR &amp; PROGRAMMING portion - released</v>
      </c>
      <c r="C14" s="178">
        <f>C21</f>
        <v>46291</v>
      </c>
      <c r="D14" s="179">
        <f>D21</f>
        <v>39033.020000000004</v>
      </c>
      <c r="E14" s="176" t="str">
        <f>E21</f>
        <v>EFT</v>
      </c>
      <c r="F14" s="180" t="inlineStr">
        <is>
          <t>PAID 8 Oct</t>
        </is>
      </c>
      <c r="G14" s="181">
        <f>G21</f>
        <v>46303</v>
      </c>
      <c r="H14" s="182" t="n"/>
      <c r="I14" s="182" t="n"/>
      <c r="J14" s="175" t="inlineStr">
        <is>
          <t>Complete AV labour and programming - hold released, paid</t>
        </is>
      </c>
    </row>
    <row r="15">
      <c r="A15" s="13" t="inlineStr">
        <is>
          <t>Total this week</t>
        </is>
      </c>
      <c r="B15" s="16" t="n"/>
      <c r="C15" s="16" t="n"/>
      <c r="D15" s="142">
        <f>SUM(D6:D14)</f>
        <v>115206.98999999999</v>
      </c>
      <c r="E15" s="16" t="n"/>
      <c r="F15" s="16" t="n"/>
      <c r="G15" s="16" t="n"/>
      <c r="H15" s="16" t="n"/>
      <c r="I15" s="16" t="n"/>
      <c r="J15" s="16" t="n"/>
    </row>
    <row r="16">
      <c r="A16" s="29" t="inlineStr">
        <is>
          <t>of which still to go out this week (agreed + due, excludes what is already paid)</t>
        </is>
      </c>
      <c r="D16" s="143">
        <f>SUMIFS(D6:D14,F6:F14,"AGREED - PAY")+SUMIFS(D6:D14,F6:F14,"Due this week")</f>
        <v>70121.81999999999</v>
      </c>
    </row>
    <row r="17" ht="30" customHeight="1" s="109">
      <c r="A17" s="113" t="inlineStr">
        <is>
          <t>ALL OPEN BILLS AND OCTOBER TEMPLATES</t>
        </is>
      </c>
    </row>
    <row r="18" ht="30" customHeight="1" s="109">
      <c r="A18" s="113" t="inlineStr">
        <is>
          <t>Supplier</t>
        </is>
      </c>
      <c r="B18" s="113" t="inlineStr">
        <is>
          <t>Bill / reference</t>
        </is>
      </c>
      <c r="C18" s="113" t="inlineStr">
        <is>
          <t>Due date</t>
        </is>
      </c>
      <c r="D18" s="113" t="inlineStr">
        <is>
          <t>Amount (incl GST)</t>
        </is>
      </c>
      <c r="E18" s="113" t="inlineStr">
        <is>
          <t>Method</t>
        </is>
      </c>
      <c r="F18" s="113" t="inlineStr">
        <is>
          <t>P&amp;L category</t>
        </is>
      </c>
      <c r="G18" s="113" t="inlineStr">
        <is>
          <t>Planned payment date</t>
        </is>
      </c>
      <c r="H18" s="113" t="inlineStr">
        <is>
          <t>Week</t>
        </is>
      </c>
      <c r="I18" s="113" t="inlineStr">
        <is>
          <t>Source</t>
        </is>
      </c>
      <c r="J18" s="113" t="inlineStr">
        <is>
          <t>Notes</t>
        </is>
      </c>
    </row>
    <row r="19" ht="24" customHeight="1" s="109">
      <c r="A19" s="18" t="inlineStr">
        <is>
          <t>Appspace, Inc.</t>
        </is>
      </c>
      <c r="B19" s="110" t="inlineStr">
        <is>
          <t>INV00133660 - Appspace licensing for Aware Super</t>
        </is>
      </c>
      <c r="C19" s="137" t="n">
        <v>46319</v>
      </c>
      <c r="D19" s="138" t="n">
        <v>20985.43</v>
      </c>
      <c r="E19" s="33" t="inlineStr">
        <is>
          <t>EFT</t>
        </is>
      </c>
      <c r="F19" s="33" t="inlineStr">
        <is>
          <t>Client subscriptions</t>
        </is>
      </c>
      <c r="G19" s="137" t="n">
        <v>46318</v>
      </c>
      <c r="H19" s="18">
        <f>IF(G19&lt;Assumptions!$B$5,"Before",IF(G19&gt;Assumptions!$C$48,"After",INT((G19-Assumptions!$B$5)/7)+1))</f>
        <v>4</v>
      </c>
      <c r="I19" s="18" t="inlineStr">
        <is>
          <t>Xero bill</t>
        </is>
      </c>
      <c r="J19" s="115" t="inlineStr">
        <is>
          <t>Pay once Aware's Appspace invoice INV-10635 ($23,317) is in (expected 16 Oct)</t>
        </is>
      </c>
    </row>
    <row r="20" ht="38.25" customHeight="1" s="109">
      <c r="A20" s="170" t="inlineStr">
        <is>
          <t>Complete AV Solutions</t>
        </is>
      </c>
      <c r="B20" s="183" t="inlineStr">
        <is>
          <t>INV41565 - Aware seminar room: MATERIALS portion (hardware, cables, freight, waste, net of the $4,848.68 claim-balance reduction)</t>
        </is>
      </c>
      <c r="C20" s="171" t="n">
        <v>46291</v>
      </c>
      <c r="D20" s="179">
        <f>'Complete AV'!K19</f>
        <v>139086.22999999998</v>
      </c>
      <c r="E20" s="173" t="inlineStr">
        <is>
          <t>EFT</t>
        </is>
      </c>
      <c r="F20" s="173" t="inlineStr">
        <is>
          <t>Equipment purchases</t>
        </is>
      </c>
      <c r="G20" s="178">
        <f>'Complete AV'!$D$46</f>
        <v>46295</v>
      </c>
      <c r="H20" s="170">
        <f>IF(G20&lt;Assumptions!$B$5,"Before",IF(G20&gt;Assumptions!$C$48,"After",INT((G20-Assumptions!$B$5)/7)+1))</f>
        <v>1</v>
      </c>
      <c r="I20" s="170" t="inlineStr">
        <is>
          <t>Xero bill</t>
        </is>
      </c>
      <c r="J20" s="175" t="inlineStr">
        <is>
          <t>PAID 29 Sep</t>
        </is>
      </c>
    </row>
    <row r="21" ht="72" customHeight="1" s="109">
      <c r="A21" s="170" t="inlineStr">
        <is>
          <t>Complete AV Solutions</t>
        </is>
      </c>
      <c r="B21" s="183" t="inlineStr">
        <is>
          <t>INV41565 - Aware seminar room: LABOUR &amp; PROGRAMMING portion - released</t>
        </is>
      </c>
      <c r="C21" s="171" t="n">
        <v>46291</v>
      </c>
      <c r="D21" s="179">
        <f>'Complete AV'!L19-'Complete AV'!L22</f>
        <v>39033.020000000004</v>
      </c>
      <c r="E21" s="173" t="inlineStr">
        <is>
          <t>EFT</t>
        </is>
      </c>
      <c r="F21" s="173" t="inlineStr">
        <is>
          <t>Equipment purchases</t>
        </is>
      </c>
      <c r="G21" s="171" t="n">
        <v>46303</v>
      </c>
      <c r="H21" s="170">
        <f>IF(G21&lt;Assumptions!$B$5,"Before",IF(G21&gt;Assumptions!$C$48,"After",INT((G21-Assumptions!$B$5)/7)+1))</f>
        <v>2</v>
      </c>
      <c r="I21" s="170" t="inlineStr">
        <is>
          <t>Xero bill</t>
        </is>
      </c>
      <c r="J21" s="175" t="inlineStr">
        <is>
          <t>PAID 8 Oct - the hold was released last week. Whole of INV41565 ($178,119.25) is now paid, matches Xero.</t>
        </is>
      </c>
    </row>
    <row r="22">
      <c r="A22" s="18" t="inlineStr">
        <is>
          <t>Crestron ANZ</t>
        </is>
      </c>
      <c r="B22" s="110" t="inlineStr">
        <is>
          <t>INV950936412 - Aware SYD 28.06 equipment</t>
        </is>
      </c>
      <c r="C22" s="137" t="n">
        <v>46314</v>
      </c>
      <c r="D22" s="138" t="n">
        <v>7103.26</v>
      </c>
      <c r="E22" s="33" t="inlineStr">
        <is>
          <t>EFT</t>
        </is>
      </c>
      <c r="F22" s="33" t="inlineStr">
        <is>
          <t>Equipment purchases</t>
        </is>
      </c>
      <c r="G22" s="137" t="n">
        <v>46314</v>
      </c>
      <c r="H22" s="18">
        <f>IF(G22&lt;Assumptions!$B$5,"Before",IF(G22&gt;Assumptions!$C$48,"After",INT((G22-Assumptions!$B$5)/7)+1))</f>
        <v>4</v>
      </c>
      <c r="I22" s="18" t="inlineStr">
        <is>
          <t>Xero bill</t>
        </is>
      </c>
      <c r="J22" s="115" t="inlineStr">
        <is>
          <t>On the due date</t>
        </is>
      </c>
    </row>
    <row r="23">
      <c r="A23" s="18" t="inlineStr">
        <is>
          <t>Employsure</t>
        </is>
      </c>
      <c r="B23" s="110" t="inlineStr">
        <is>
          <t>41 of 60</t>
        </is>
      </c>
      <c r="C23" s="137" t="n">
        <v>46271</v>
      </c>
      <c r="D23" s="138" t="n">
        <v>880</v>
      </c>
      <c r="E23" s="33" t="inlineStr">
        <is>
          <t>EFT</t>
        </is>
      </c>
      <c r="F23" s="33" t="inlineStr">
        <is>
          <t>Professional fees</t>
        </is>
      </c>
      <c r="G23" s="137" t="n">
        <v>46309</v>
      </c>
      <c r="H23" s="18">
        <f>IF(G23&lt;Assumptions!$B$5,"Before",IF(G23&gt;Assumptions!$C$48,"After",INT((G23-Assumptions!$B$5)/7)+1))</f>
        <v>3</v>
      </c>
      <c r="I23" s="18" t="inlineStr">
        <is>
          <t>Xero bill</t>
        </is>
      </c>
      <c r="J23" s="115" t="inlineStr">
        <is>
          <t>Still open in Xero at 12 Oct (the Oct one, 42 of 60, was paid 6 Oct). Pay this week.</t>
        </is>
      </c>
    </row>
    <row r="24">
      <c r="A24" s="170" t="inlineStr">
        <is>
          <t>Energy Australia</t>
        </is>
      </c>
      <c r="B24" s="183" t="inlineStr">
        <is>
          <t>INV260382065288 - energy 23 Jul-22 Aug</t>
        </is>
      </c>
      <c r="C24" s="171" t="n">
        <v>46294</v>
      </c>
      <c r="D24" s="172" t="n">
        <v>377.13</v>
      </c>
      <c r="E24" s="173" t="inlineStr">
        <is>
          <t>Card</t>
        </is>
      </c>
      <c r="F24" s="173" t="inlineStr">
        <is>
          <t>Electricity</t>
        </is>
      </c>
      <c r="G24" s="171" t="n">
        <v>46294</v>
      </c>
      <c r="H24" s="170">
        <f>IF(G24&lt;Assumptions!$B$5,"Before",IF(G24&gt;Assumptions!$C$48,"After",INT((G24-Assumptions!$B$5)/7)+1))</f>
        <v>1</v>
      </c>
      <c r="I24" s="170" t="inlineStr">
        <is>
          <t>Xero bill</t>
        </is>
      </c>
      <c r="J24" s="175" t="inlineStr">
        <is>
          <t>PAID 29 Sep - PL card</t>
        </is>
      </c>
    </row>
    <row r="25">
      <c r="A25" s="18" t="inlineStr">
        <is>
          <t>Energy Australia</t>
        </is>
      </c>
      <c r="B25" s="110" t="inlineStr">
        <is>
          <t>INV260412412804 - electricity 23 Aug-21 Sep</t>
        </is>
      </c>
      <c r="C25" s="137" t="n">
        <v>46309</v>
      </c>
      <c r="D25" s="138" t="n">
        <v>696.25</v>
      </c>
      <c r="E25" s="33" t="inlineStr">
        <is>
          <t>Card</t>
        </is>
      </c>
      <c r="F25" s="33" t="inlineStr">
        <is>
          <t>Electricity</t>
        </is>
      </c>
      <c r="G25" s="137" t="n">
        <v>46309</v>
      </c>
      <c r="H25" s="18">
        <f>IF(G25&lt;Assumptions!$B$5,"Before",IF(G25&gt;Assumptions!$C$48,"After",INT((G25-Assumptions!$B$5)/7)+1))</f>
        <v>3</v>
      </c>
      <c r="I25" s="18" t="inlineStr">
        <is>
          <t>Xero bill</t>
        </is>
      </c>
      <c r="J25" s="115" t="inlineStr">
        <is>
          <t>DD via the PL card</t>
        </is>
      </c>
    </row>
    <row r="26">
      <c r="A26" s="170" t="inlineStr">
        <is>
          <t>Eptura Australia</t>
        </is>
      </c>
      <c r="B26" s="183" t="inlineStr">
        <is>
          <t>INV-85230 - Proxyclick renewal APA VMS yr 2</t>
        </is>
      </c>
      <c r="C26" s="171" t="n">
        <v>46296</v>
      </c>
      <c r="D26" s="172" t="n">
        <v>3627.04</v>
      </c>
      <c r="E26" s="173" t="inlineStr">
        <is>
          <t>EFT</t>
        </is>
      </c>
      <c r="F26" s="173" t="inlineStr">
        <is>
          <t>Client subscriptions</t>
        </is>
      </c>
      <c r="G26" s="171" t="n">
        <v>46303</v>
      </c>
      <c r="H26" s="170">
        <f>IF(G26&lt;Assumptions!$B$5,"Before",IF(G26&gt;Assumptions!$C$48,"After",INT((G26-Assumptions!$B$5)/7)+1))</f>
        <v>2</v>
      </c>
      <c r="I26" s="170" t="inlineStr">
        <is>
          <t>Xero bill</t>
        </is>
      </c>
      <c r="J26" s="175" t="inlineStr">
        <is>
          <t>PAID 8 Oct</t>
        </is>
      </c>
    </row>
    <row r="27">
      <c r="A27" s="170" t="inlineStr">
        <is>
          <t>Expedia</t>
        </is>
      </c>
      <c r="B27" s="183" t="inlineStr">
        <is>
          <t>ITN73550041732636 - accommodation D Hurley</t>
        </is>
      </c>
      <c r="C27" s="171" t="n">
        <v>46287</v>
      </c>
      <c r="D27" s="172" t="n">
        <v>808.95</v>
      </c>
      <c r="E27" s="173" t="inlineStr">
        <is>
          <t>Card</t>
        </is>
      </c>
      <c r="F27" s="173" t="inlineStr">
        <is>
          <t>Direct travel &amp; freight</t>
        </is>
      </c>
      <c r="G27" s="171" t="n">
        <v>46287</v>
      </c>
      <c r="H27" s="170" t="str">
        <f>IF(G27&lt;Assumptions!$B$5,"Before",IF(G27&gt;Assumptions!$C$48,"After",INT((G27-Assumptions!$B$5)/7)+1))</f>
        <v>Before</v>
      </c>
      <c r="I27" s="170" t="inlineStr">
        <is>
          <t>Xero bill</t>
        </is>
      </c>
      <c r="J27" s="175" t="inlineStr">
        <is>
          <t>PAID 22 Sep - PL card</t>
        </is>
      </c>
    </row>
    <row r="28" ht="25.5" customHeight="1" s="109">
      <c r="A28" s="170" t="inlineStr">
        <is>
          <t>Fredon Technology</t>
        </is>
      </c>
      <c r="B28" s="183" t="inlineStr">
        <is>
          <t>INV11S-26080021 - DTTL 8PSQ Dream Big microphones</t>
        </is>
      </c>
      <c r="C28" s="171" t="n">
        <v>46288</v>
      </c>
      <c r="D28" s="172" t="n">
        <v>24708.2</v>
      </c>
      <c r="E28" s="173" t="inlineStr">
        <is>
          <t>EFT</t>
        </is>
      </c>
      <c r="F28" s="173" t="inlineStr">
        <is>
          <t>Equipment purchases</t>
        </is>
      </c>
      <c r="G28" s="171" t="n">
        <v>46296</v>
      </c>
      <c r="H28" s="170">
        <f>IF(G28&lt;Assumptions!$B$5,"Before",IF(G28&gt;Assumptions!$C$48,"After",INT((G28-Assumptions!$B$5)/7)+1))</f>
        <v>1</v>
      </c>
      <c r="I28" s="170" t="inlineStr">
        <is>
          <t>Xero bill</t>
        </is>
      </c>
      <c r="J28" s="175" t="inlineStr">
        <is>
          <t>PAID 1 Oct</t>
        </is>
      </c>
    </row>
    <row r="29">
      <c r="A29" s="18" t="inlineStr">
        <is>
          <t>Investa Asset Management</t>
        </is>
      </c>
      <c r="B29" s="110" t="inlineStr">
        <is>
          <t>INV5310034149 - Rent September 2026 (incl. pest)</t>
        </is>
      </c>
      <c r="C29" s="137" t="n">
        <v>46317</v>
      </c>
      <c r="D29" s="138" t="n">
        <v>29280.72</v>
      </c>
      <c r="E29" s="33" t="inlineStr">
        <is>
          <t>EFT</t>
        </is>
      </c>
      <c r="F29" s="33" t="inlineStr">
        <is>
          <t>Rent</t>
        </is>
      </c>
      <c r="G29" s="137" t="n">
        <v>46317</v>
      </c>
      <c r="H29" s="18">
        <f>IF(G29&lt;Assumptions!$B$5,"Before",IF(G29&gt;Assumptions!$C$48,"After",INT((G29-Assumptions!$B$5)/7)+1))</f>
        <v>4</v>
      </c>
      <c r="I29" s="18" t="inlineStr">
        <is>
          <t>Xero bill</t>
        </is>
      </c>
      <c r="J29" s="115" t="inlineStr">
        <is>
          <t>On the due date. Oct rent gets invoiced ~22 Oct, due ~22 Nov</t>
        </is>
      </c>
    </row>
    <row r="30">
      <c r="A30" s="170" t="inlineStr">
        <is>
          <t>Mailchimp</t>
        </is>
      </c>
      <c r="B30" s="183" t="inlineStr">
        <is>
          <t>MC27286583 - September</t>
        </is>
      </c>
      <c r="C30" s="171" t="n">
        <v>46283</v>
      </c>
      <c r="D30" s="172" t="n">
        <v>37.62</v>
      </c>
      <c r="E30" s="173" t="inlineStr">
        <is>
          <t>Card</t>
        </is>
      </c>
      <c r="F30" s="173" t="inlineStr">
        <is>
          <t>Dues &amp; subscriptions</t>
        </is>
      </c>
      <c r="G30" s="171" t="n">
        <v>46283</v>
      </c>
      <c r="H30" s="170" t="str">
        <f>IF(G30&lt;Assumptions!$B$5,"Before",IF(G30&gt;Assumptions!$C$48,"After",INT((G30-Assumptions!$B$5)/7)+1))</f>
        <v>Before</v>
      </c>
      <c r="I30" s="170" t="inlineStr">
        <is>
          <t>Xero bill</t>
        </is>
      </c>
      <c r="J30" s="175" t="inlineStr">
        <is>
          <t>PAID 18 Sep - card</t>
        </is>
      </c>
    </row>
    <row r="31">
      <c r="A31" s="170" t="inlineStr">
        <is>
          <t>Optus</t>
        </is>
      </c>
      <c r="B31" s="183" t="inlineStr">
        <is>
          <t>INV000594614144 - office internet &amp; landline Sep</t>
        </is>
      </c>
      <c r="C31" s="171" t="n">
        <v>46288</v>
      </c>
      <c r="D31" s="172" t="n">
        <v>629.66</v>
      </c>
      <c r="E31" s="173" t="inlineStr">
        <is>
          <t>Card</t>
        </is>
      </c>
      <c r="F31" s="173" t="inlineStr">
        <is>
          <t>Telephone &amp; internet</t>
        </is>
      </c>
      <c r="G31" s="171" t="n">
        <v>46288</v>
      </c>
      <c r="H31" s="170" t="str">
        <f>IF(G31&lt;Assumptions!$B$5,"Before",IF(G31&gt;Assumptions!$C$48,"After",INT((G31-Assumptions!$B$5)/7)+1))</f>
        <v>Before</v>
      </c>
      <c r="I31" s="170" t="inlineStr">
        <is>
          <t>Xero bill</t>
        </is>
      </c>
      <c r="J31" s="175" t="inlineStr">
        <is>
          <t>PAID 23 Sep - card</t>
        </is>
      </c>
    </row>
    <row r="32">
      <c r="A32" s="170" t="inlineStr">
        <is>
          <t>Optus</t>
        </is>
      </c>
      <c r="B32" s="183" t="inlineStr">
        <is>
          <t>INV000594999543 - staff mobiles Sep</t>
        </is>
      </c>
      <c r="C32" s="171" t="n">
        <v>46307</v>
      </c>
      <c r="D32" s="172" t="n">
        <v>804.11</v>
      </c>
      <c r="E32" s="173" t="inlineStr">
        <is>
          <t>BPAY</t>
        </is>
      </c>
      <c r="F32" s="173" t="inlineStr">
        <is>
          <t>Telephone &amp; internet</t>
        </is>
      </c>
      <c r="G32" s="171" t="n">
        <v>46303</v>
      </c>
      <c r="H32" s="170">
        <f>IF(G32&lt;Assumptions!$B$5,"Before",IF(G32&gt;Assumptions!$C$48,"After",INT((G32-Assumptions!$B$5)/7)+1))</f>
        <v>2</v>
      </c>
      <c r="I32" s="170" t="inlineStr">
        <is>
          <t>Xero bill</t>
        </is>
      </c>
      <c r="J32" s="175" t="inlineStr">
        <is>
          <t>PAID 8 Oct - BPAY</t>
        </is>
      </c>
    </row>
    <row r="33">
      <c r="A33" s="18" t="inlineStr">
        <is>
          <t>Persona Health</t>
        </is>
      </c>
      <c r="B33" s="110" t="inlineStr">
        <is>
          <t>INV-18315 - fitness for duty assessment</t>
        </is>
      </c>
      <c r="C33" s="137" t="n">
        <v>46275</v>
      </c>
      <c r="D33" s="138" t="n">
        <v>996.6</v>
      </c>
      <c r="E33" s="33" t="inlineStr">
        <is>
          <t>EFT</t>
        </is>
      </c>
      <c r="F33" s="33" t="inlineStr">
        <is>
          <t>Other</t>
        </is>
      </c>
      <c r="G33" s="137" t="n">
        <v>46316</v>
      </c>
      <c r="H33" s="18">
        <f>IF(G33&lt;Assumptions!$B$5,"Before",IF(G33&gt;Assumptions!$C$48,"After",INT((G33-Assumptions!$B$5)/7)+1))</f>
        <v>4</v>
      </c>
      <c r="I33" s="18" t="inlineStr">
        <is>
          <t>Xero bill</t>
        </is>
      </c>
      <c r="J33" s="115" t="inlineStr">
        <is>
          <t>GC said hold until he confirms. Assumed released week 4</t>
        </is>
      </c>
    </row>
    <row r="34">
      <c r="A34" s="170" t="inlineStr">
        <is>
          <t>Posh Services (Ambius)</t>
        </is>
      </c>
      <c r="B34" s="183" t="inlineStr">
        <is>
          <t>INV21736844 - indoor plants Sep</t>
        </is>
      </c>
      <c r="C34" s="171" t="n">
        <v>46304</v>
      </c>
      <c r="D34" s="172" t="n">
        <v>245</v>
      </c>
      <c r="E34" s="173" t="inlineStr">
        <is>
          <t>EFT</t>
        </is>
      </c>
      <c r="F34" s="173" t="inlineStr">
        <is>
          <t>Office</t>
        </is>
      </c>
      <c r="G34" s="171" t="n">
        <v>46303</v>
      </c>
      <c r="H34" s="170">
        <f>IF(G34&lt;Assumptions!$B$5,"Before",IF(G34&gt;Assumptions!$C$48,"After",INT((G34-Assumptions!$B$5)/7)+1))</f>
        <v>2</v>
      </c>
      <c r="I34" s="170" t="inlineStr">
        <is>
          <t>Xero bill</t>
        </is>
      </c>
      <c r="J34" s="175" t="inlineStr">
        <is>
          <t>PAID 8 Oct</t>
        </is>
      </c>
    </row>
    <row r="35">
      <c r="A35" s="170" t="inlineStr">
        <is>
          <t>Ricoh Australia</t>
        </is>
      </c>
      <c r="B35" s="183" t="inlineStr">
        <is>
          <t>INV15759052 - printing Aug</t>
        </is>
      </c>
      <c r="C35" s="171" t="n">
        <v>46295</v>
      </c>
      <c r="D35" s="172" t="n">
        <v>235.6</v>
      </c>
      <c r="E35" s="173" t="inlineStr">
        <is>
          <t>DD</t>
        </is>
      </c>
      <c r="F35" s="173" t="inlineStr">
        <is>
          <t>Office</t>
        </is>
      </c>
      <c r="G35" s="171" t="n">
        <v>46295</v>
      </c>
      <c r="H35" s="170">
        <f>IF(G35&lt;Assumptions!$B$5,"Before",IF(G35&gt;Assumptions!$C$48,"After",INT((G35-Assumptions!$B$5)/7)+1))</f>
        <v>1</v>
      </c>
      <c r="I35" s="170" t="inlineStr">
        <is>
          <t>Xero bill</t>
        </is>
      </c>
      <c r="J35" s="175" t="inlineStr">
        <is>
          <t>PAID 30 Sep - DD</t>
        </is>
      </c>
    </row>
    <row r="36">
      <c r="A36" s="170" t="inlineStr">
        <is>
          <t>RJW Group Holdings</t>
        </is>
      </c>
      <c r="B36" s="183" t="inlineStr">
        <is>
          <t>INV-0048 - website design balance</t>
        </is>
      </c>
      <c r="C36" s="171" t="n">
        <v>46295</v>
      </c>
      <c r="D36" s="172" t="n">
        <v>6600</v>
      </c>
      <c r="E36" s="173" t="inlineStr">
        <is>
          <t>EFT</t>
        </is>
      </c>
      <c r="F36" s="173" t="inlineStr">
        <is>
          <t>Advertising</t>
        </is>
      </c>
      <c r="G36" s="171" t="n">
        <v>46296</v>
      </c>
      <c r="H36" s="170">
        <f>IF(G36&lt;Assumptions!$B$5,"Before",IF(G36&gt;Assumptions!$C$48,"After",INT((G36-Assumptions!$B$5)/7)+1))</f>
        <v>1</v>
      </c>
      <c r="I36" s="170" t="inlineStr">
        <is>
          <t>Xero bill</t>
        </is>
      </c>
      <c r="J36" s="175" t="inlineStr">
        <is>
          <t>PAID 1 Oct</t>
        </is>
      </c>
    </row>
    <row r="37">
      <c r="A37" s="170" t="inlineStr">
        <is>
          <t>Seek</t>
        </is>
      </c>
      <c r="B37" s="183" t="inlineStr">
        <is>
          <t>INV702112646 - job ad casual AV concierge</t>
        </is>
      </c>
      <c r="C37" s="171" t="n">
        <v>46283</v>
      </c>
      <c r="D37" s="172" t="n">
        <v>550</v>
      </c>
      <c r="E37" s="173" t="inlineStr">
        <is>
          <t>Card</t>
        </is>
      </c>
      <c r="F37" s="173" t="inlineStr">
        <is>
          <t>Recruitment</t>
        </is>
      </c>
      <c r="G37" s="171" t="n">
        <v>46283</v>
      </c>
      <c r="H37" s="170" t="str">
        <f>IF(G37&lt;Assumptions!$B$5,"Before",IF(G37&gt;Assumptions!$C$48,"After",INT((G37-Assumptions!$B$5)/7)+1))</f>
        <v>Before</v>
      </c>
      <c r="I37" s="170" t="inlineStr">
        <is>
          <t>Xero bill</t>
        </is>
      </c>
      <c r="J37" s="175" t="inlineStr">
        <is>
          <t>PAID 18 Sep - card</t>
        </is>
      </c>
    </row>
    <row r="38">
      <c r="A38" s="170" t="inlineStr">
        <is>
          <t>SPACERA</t>
        </is>
      </c>
      <c r="B38" s="183" t="inlineStr">
        <is>
          <t>INV-0056 - Aware Super national support (Sep)</t>
        </is>
      </c>
      <c r="C38" s="171" t="n">
        <v>46296</v>
      </c>
      <c r="D38" s="172" t="n">
        <v>5728.8</v>
      </c>
      <c r="E38" s="173" t="inlineStr">
        <is>
          <t>EFT</t>
        </is>
      </c>
      <c r="F38" s="173" t="inlineStr">
        <is>
          <t>Client subscriptions</t>
        </is>
      </c>
      <c r="G38" s="171" t="n">
        <v>46296</v>
      </c>
      <c r="H38" s="170">
        <f>IF(G38&lt;Assumptions!$B$5,"Before",IF(G38&gt;Assumptions!$C$48,"After",INT((G38-Assumptions!$B$5)/7)+1))</f>
        <v>1</v>
      </c>
      <c r="I38" s="170" t="inlineStr">
        <is>
          <t>Xero bill</t>
        </is>
      </c>
      <c r="J38" s="175" t="inlineStr">
        <is>
          <t>PAID 1 Oct</t>
        </is>
      </c>
    </row>
    <row r="39">
      <c r="A39" s="170" t="inlineStr">
        <is>
          <t>Tec Art</t>
        </is>
      </c>
      <c r="B39" s="183" t="inlineStr">
        <is>
          <t>INV136603 - PRD asset purchase</t>
        </is>
      </c>
      <c r="C39" s="171" t="n">
        <v>46287</v>
      </c>
      <c r="D39" s="172" t="n">
        <v>657.5</v>
      </c>
      <c r="E39" s="173" t="inlineStr">
        <is>
          <t>Card</t>
        </is>
      </c>
      <c r="F39" s="173" t="inlineStr">
        <is>
          <t>Equipment purchases</t>
        </is>
      </c>
      <c r="G39" s="171" t="n">
        <v>46287</v>
      </c>
      <c r="H39" s="170" t="str">
        <f>IF(G39&lt;Assumptions!$B$5,"Before",IF(G39&gt;Assumptions!$C$48,"After",INT((G39-Assumptions!$B$5)/7)+1))</f>
        <v>Before</v>
      </c>
      <c r="I39" s="170" t="inlineStr">
        <is>
          <t>Xero bill</t>
        </is>
      </c>
      <c r="J39" s="175" t="inlineStr">
        <is>
          <t>PAID 22 Sep - card</t>
        </is>
      </c>
    </row>
    <row r="40">
      <c r="A40" s="170" t="inlineStr">
        <is>
          <t>Tec Art</t>
        </is>
      </c>
      <c r="B40" s="183" t="inlineStr">
        <is>
          <t>INV136603CR - refund</t>
        </is>
      </c>
      <c r="C40" s="171" t="n">
        <v>46289</v>
      </c>
      <c r="D40" s="172" t="n">
        <v>-657.5</v>
      </c>
      <c r="E40" s="173" t="inlineStr">
        <is>
          <t>Card</t>
        </is>
      </c>
      <c r="F40" s="173" t="inlineStr">
        <is>
          <t>Equipment purchases</t>
        </is>
      </c>
      <c r="G40" s="171" t="n">
        <v>46289</v>
      </c>
      <c r="H40" s="170" t="str">
        <f>IF(G40&lt;Assumptions!$B$5,"Before",IF(G40&gt;Assumptions!$C$48,"After",INT((G40-Assumptions!$B$5)/7)+1))</f>
        <v>Before</v>
      </c>
      <c r="I40" s="170" t="inlineStr">
        <is>
          <t>Xero bill</t>
        </is>
      </c>
      <c r="J40" s="175" t="inlineStr">
        <is>
          <t>Refunded 24 Sep - card</t>
        </is>
      </c>
    </row>
    <row r="41">
      <c r="A41" s="170" t="inlineStr">
        <is>
          <t>Transport for NSW</t>
        </is>
      </c>
      <c r="B41" s="183" t="inlineStr">
        <is>
          <t>Opal top-up T Wood</t>
        </is>
      </c>
      <c r="C41" s="171" t="n">
        <v>46283</v>
      </c>
      <c r="D41" s="172" t="n">
        <v>20</v>
      </c>
      <c r="E41" s="173" t="inlineStr">
        <is>
          <t>Card</t>
        </is>
      </c>
      <c r="F41" s="173" t="inlineStr">
        <is>
          <t>Direct travel &amp; freight</t>
        </is>
      </c>
      <c r="G41" s="171" t="n">
        <v>46283</v>
      </c>
      <c r="H41" s="170" t="str">
        <f>IF(G41&lt;Assumptions!$B$5,"Before",IF(G41&gt;Assumptions!$C$48,"After",INT((G41-Assumptions!$B$5)/7)+1))</f>
        <v>Before</v>
      </c>
      <c r="I41" s="170" t="inlineStr">
        <is>
          <t>Xero bill</t>
        </is>
      </c>
      <c r="J41" s="175" t="inlineStr">
        <is>
          <t>PAID - card</t>
        </is>
      </c>
    </row>
    <row r="42">
      <c r="A42" s="170" t="inlineStr">
        <is>
          <t>Virgin Australia</t>
        </is>
      </c>
      <c r="B42" s="183" t="inlineStr">
        <is>
          <t>SYMUMZ-3 - rescheduled flights D Hurley</t>
        </is>
      </c>
      <c r="C42" s="171" t="n">
        <v>46283</v>
      </c>
      <c r="D42" s="172" t="n">
        <v>501.91</v>
      </c>
      <c r="E42" s="173" t="inlineStr">
        <is>
          <t>Card</t>
        </is>
      </c>
      <c r="F42" s="173" t="inlineStr">
        <is>
          <t>Direct travel &amp; freight</t>
        </is>
      </c>
      <c r="G42" s="171" t="n">
        <v>46283</v>
      </c>
      <c r="H42" s="170" t="str">
        <f>IF(G42&lt;Assumptions!$B$5,"Before",IF(G42&gt;Assumptions!$C$48,"After",INT((G42-Assumptions!$B$5)/7)+1))</f>
        <v>Before</v>
      </c>
      <c r="I42" s="170" t="inlineStr">
        <is>
          <t>Xero bill</t>
        </is>
      </c>
      <c r="J42" s="175" t="inlineStr">
        <is>
          <t>PAID 17 Sep - card</t>
        </is>
      </c>
    </row>
    <row r="43">
      <c r="A43" s="170" t="inlineStr">
        <is>
          <t>Xero</t>
        </is>
      </c>
      <c r="B43" s="183" t="inlineStr">
        <is>
          <t>INV-56302114 - subscription Sep</t>
        </is>
      </c>
      <c r="C43" s="171" t="n">
        <v>46289</v>
      </c>
      <c r="D43" s="172" t="n">
        <v>107</v>
      </c>
      <c r="E43" s="173" t="inlineStr">
        <is>
          <t>Card</t>
        </is>
      </c>
      <c r="F43" s="173" t="inlineStr">
        <is>
          <t>Dues &amp; subscriptions</t>
        </is>
      </c>
      <c r="G43" s="171" t="n">
        <v>46289</v>
      </c>
      <c r="H43" s="170" t="str">
        <f>IF(G43&lt;Assumptions!$B$5,"Before",IF(G43&gt;Assumptions!$C$48,"After",INT((G43-Assumptions!$B$5)/7)+1))</f>
        <v>Before</v>
      </c>
      <c r="I43" s="170" t="inlineStr">
        <is>
          <t>Xero bill</t>
        </is>
      </c>
      <c r="J43" s="175" t="inlineStr">
        <is>
          <t>PAID 24 Sep - card</t>
        </is>
      </c>
    </row>
    <row r="44">
      <c r="A44" s="18" t="inlineStr">
        <is>
          <t>First Focus IT</t>
        </is>
      </c>
      <c r="B44" s="110" t="inlineStr">
        <is>
          <t>INV179820 - CORE Intelligent Managed Services October</t>
        </is>
      </c>
      <c r="C44" s="137" t="n">
        <v>46310</v>
      </c>
      <c r="D44" s="138" t="n">
        <v>13566</v>
      </c>
      <c r="E44" s="33" t="inlineStr">
        <is>
          <t>DD</t>
        </is>
      </c>
      <c r="F44" s="33" t="inlineStr">
        <is>
          <t>IT support</t>
        </is>
      </c>
      <c r="G44" s="137" t="n">
        <v>46310</v>
      </c>
      <c r="H44" s="18">
        <f>IF(G44&lt;Assumptions!$B$5,"Before",IF(G44&gt;Assumptions!$C$48,"After",INT((G44-Assumptions!$B$5)/7)+1))</f>
        <v>3</v>
      </c>
      <c r="I44" s="18" t="inlineStr">
        <is>
          <t>Xero bill</t>
        </is>
      </c>
      <c r="J44" s="115" t="inlineStr">
        <is>
          <t>DD on the due date</t>
        </is>
      </c>
    </row>
    <row r="45">
      <c r="A45" s="18" t="inlineStr">
        <is>
          <t>First Focus IT</t>
        </is>
      </c>
      <c r="B45" s="110" t="inlineStr">
        <is>
          <t>INV180546 - Managed Services Azure October</t>
        </is>
      </c>
      <c r="C45" s="137" t="n">
        <v>46309</v>
      </c>
      <c r="D45" s="138" t="n">
        <v>692.84</v>
      </c>
      <c r="E45" s="33" t="inlineStr">
        <is>
          <t>DD</t>
        </is>
      </c>
      <c r="F45" s="33" t="inlineStr">
        <is>
          <t>IT support</t>
        </is>
      </c>
      <c r="G45" s="137" t="n">
        <v>46309</v>
      </c>
      <c r="H45" s="18">
        <f>IF(G45&lt;Assumptions!$B$5,"Before",IF(G45&gt;Assumptions!$C$48,"After",INT((G45-Assumptions!$B$5)/7)+1))</f>
        <v>3</v>
      </c>
      <c r="I45" s="18" t="inlineStr">
        <is>
          <t>Xero bill</t>
        </is>
      </c>
      <c r="J45" s="115" t="inlineStr">
        <is>
          <t>DD on the due date</t>
        </is>
      </c>
    </row>
    <row r="46">
      <c r="A46" s="18" t="inlineStr">
        <is>
          <t>RJW Group Holdings</t>
        </is>
      </c>
      <c r="B46" s="110" t="inlineStr">
        <is>
          <t>INV-0120 - Digital growth marketing October</t>
        </is>
      </c>
      <c r="C46" s="137" t="n">
        <v>46316</v>
      </c>
      <c r="D46" s="138" t="n">
        <v>4675</v>
      </c>
      <c r="E46" s="33" t="inlineStr">
        <is>
          <t>EFT</t>
        </is>
      </c>
      <c r="F46" s="33" t="inlineStr">
        <is>
          <t>Advertising</t>
        </is>
      </c>
      <c r="G46" s="137" t="n">
        <v>46316</v>
      </c>
      <c r="H46" s="18">
        <f>IF(G46&lt;Assumptions!$B$5,"Before",IF(G46&gt;Assumptions!$C$48,"After",INT((G46-Assumptions!$B$5)/7)+1))</f>
        <v>4</v>
      </c>
      <c r="I46" s="18" t="inlineStr">
        <is>
          <t>Xero bill</t>
        </is>
      </c>
      <c r="J46" s="115" t="inlineStr">
        <is>
          <t>On the due date</t>
        </is>
      </c>
    </row>
    <row r="47">
      <c r="A47" s="18" t="inlineStr">
        <is>
          <t>Cleveland Partners (8020 Advisors)</t>
        </is>
      </c>
      <c r="B47" s="110" t="inlineStr">
        <is>
          <t>Monthly advisory fees</t>
        </is>
      </c>
      <c r="C47" s="137" t="n">
        <v>46302</v>
      </c>
      <c r="D47" s="138" t="n">
        <v>3850</v>
      </c>
      <c r="E47" s="33" t="inlineStr">
        <is>
          <t>EFT</t>
        </is>
      </c>
      <c r="F47" s="33" t="inlineStr">
        <is>
          <t>Professional fees</t>
        </is>
      </c>
      <c r="G47" s="137" t="n">
        <v>46311</v>
      </c>
      <c r="H47" s="18">
        <f>IF(G47&lt;Assumptions!$B$5,"Before",IF(G47&gt;Assumptions!$C$48,"After",INT((G47-Assumptions!$B$5)/7)+1))</f>
        <v>3</v>
      </c>
      <c r="I47" s="18" t="inlineStr">
        <is>
          <t>Repeating template</t>
        </is>
      </c>
      <c r="J47" s="115" t="inlineStr">
        <is>
          <t>Template $3,850 a month. Nothing paid in Xero to 12 Oct - check if the Oct invoice has come in.</t>
        </is>
      </c>
    </row>
    <row r="48">
      <c r="A48" s="18" t="inlineStr">
        <is>
          <t>SPACERA</t>
        </is>
      </c>
      <c r="B48" s="110" t="inlineStr">
        <is>
          <t>INV-0060 - Aware Super national support October</t>
        </is>
      </c>
      <c r="C48" s="137" t="n">
        <v>46326</v>
      </c>
      <c r="D48" s="138" t="n">
        <v>5728.8</v>
      </c>
      <c r="E48" s="33" t="inlineStr">
        <is>
          <t>EFT</t>
        </is>
      </c>
      <c r="F48" s="33" t="inlineStr">
        <is>
          <t>Client subscriptions</t>
        </is>
      </c>
      <c r="G48" s="137" t="n">
        <v>46326</v>
      </c>
      <c r="H48" s="18">
        <f>IF(G48&lt;Assumptions!$B$5,"Before",IF(G48&gt;Assumptions!$C$48,"After",INT((G48-Assumptions!$B$5)/7)+1))</f>
        <v>5</v>
      </c>
      <c r="I48" s="18" t="inlineStr">
        <is>
          <t>Xero bill</t>
        </is>
      </c>
      <c r="J48" s="115" t="inlineStr">
        <is>
          <t>On the due date, 31 Oct</t>
        </is>
      </c>
    </row>
    <row r="49">
      <c r="A49" s="170" t="inlineStr">
        <is>
          <t>LiveU</t>
        </is>
      </c>
      <c r="B49" s="183" t="inlineStr">
        <is>
          <t>INV-19664 - SOLO standard data pack October</t>
        </is>
      </c>
      <c r="C49" s="171" t="n">
        <v>46309</v>
      </c>
      <c r="D49" s="172" t="n">
        <v>1485</v>
      </c>
      <c r="E49" s="173" t="inlineStr">
        <is>
          <t>EFT</t>
        </is>
      </c>
      <c r="F49" s="173" t="inlineStr">
        <is>
          <t>Client subscriptions</t>
        </is>
      </c>
      <c r="G49" s="171" t="n">
        <v>46303</v>
      </c>
      <c r="H49" s="170">
        <f>IF(G49&lt;Assumptions!$B$5,"Before",IF(G49&gt;Assumptions!$C$48,"After",INT((G49-Assumptions!$B$5)/7)+1))</f>
        <v>2</v>
      </c>
      <c r="I49" s="170" t="inlineStr">
        <is>
          <t>Xero bill</t>
        </is>
      </c>
      <c r="J49" s="175" t="inlineStr">
        <is>
          <t>PAID 8 Oct (INV-19664)</t>
        </is>
      </c>
    </row>
    <row r="50">
      <c r="A50" s="170" t="inlineStr">
        <is>
          <t>Employsure</t>
        </is>
      </c>
      <c r="B50" s="183" t="inlineStr">
        <is>
          <t>42 of 60 - October</t>
        </is>
      </c>
      <c r="C50" s="171" t="n">
        <v>46300</v>
      </c>
      <c r="D50" s="172" t="n">
        <v>880</v>
      </c>
      <c r="E50" s="173" t="inlineStr">
        <is>
          <t>EFT</t>
        </is>
      </c>
      <c r="F50" s="173" t="inlineStr">
        <is>
          <t>Professional fees</t>
        </is>
      </c>
      <c r="G50" s="171" t="n">
        <v>46301</v>
      </c>
      <c r="H50" s="170">
        <f>IF(G50&lt;Assumptions!$B$5,"Before",IF(G50&gt;Assumptions!$C$48,"After",INT((G50-Assumptions!$B$5)/7)+1))</f>
        <v>2</v>
      </c>
      <c r="I50" s="170" t="inlineStr">
        <is>
          <t>Repeating template</t>
        </is>
      </c>
      <c r="J50" s="175" t="inlineStr">
        <is>
          <t>PAID 6 Oct</t>
        </is>
      </c>
    </row>
    <row r="51">
      <c r="A51" s="18" t="inlineStr">
        <is>
          <t>The CEO Institute</t>
        </is>
      </c>
      <c r="B51" s="110" t="inlineStr">
        <is>
          <t>Syndicate membership (DL) - quarterly</t>
        </is>
      </c>
      <c r="C51" s="137" t="n">
        <v>46303</v>
      </c>
      <c r="D51" s="138" t="n">
        <v>2310</v>
      </c>
      <c r="E51" s="33" t="inlineStr">
        <is>
          <t>EFT</t>
        </is>
      </c>
      <c r="F51" s="33" t="inlineStr">
        <is>
          <t>Dues &amp; subscriptions</t>
        </is>
      </c>
      <c r="G51" s="137" t="n">
        <v>46311</v>
      </c>
      <c r="H51" s="18">
        <f>IF(G51&lt;Assumptions!$B$5,"Before",IF(G51&gt;Assumptions!$C$48,"After",INT((G51-Assumptions!$B$5)/7)+1))</f>
        <v>3</v>
      </c>
      <c r="I51" s="18" t="inlineStr">
        <is>
          <t>Repeating template</t>
        </is>
      </c>
      <c r="J51" s="115" t="inlineStr">
        <is>
          <t>Quarterly, due 8 Oct. No bill in Xero at 12 Oct - check with DL.</t>
        </is>
      </c>
    </row>
    <row r="52">
      <c r="A52" s="170" t="inlineStr">
        <is>
          <t>Telstra</t>
        </is>
      </c>
      <c r="B52" s="183" t="inlineStr">
        <is>
          <t>TTI20227626284 - Nighthawk charges October</t>
        </is>
      </c>
      <c r="C52" s="171" t="n">
        <v>46307</v>
      </c>
      <c r="D52" s="172" t="n">
        <v>136</v>
      </c>
      <c r="E52" s="173" t="inlineStr">
        <is>
          <t>EFT</t>
        </is>
      </c>
      <c r="F52" s="173" t="inlineStr">
        <is>
          <t>Telephone &amp; internet</t>
        </is>
      </c>
      <c r="G52" s="171" t="n">
        <v>46303</v>
      </c>
      <c r="H52" s="170">
        <f>IF(G52&lt;Assumptions!$B$5,"Before",IF(G52&gt;Assumptions!$C$48,"After",INT((G52-Assumptions!$B$5)/7)+1))</f>
        <v>2</v>
      </c>
      <c r="I52" s="170" t="inlineStr">
        <is>
          <t>Xero bill</t>
        </is>
      </c>
      <c r="J52" s="175" t="inlineStr">
        <is>
          <t>PAID 8 Oct - BPAY (TTI20227626284, $136)</t>
        </is>
      </c>
    </row>
    <row r="53">
      <c r="A53" s="18" t="inlineStr">
        <is>
          <t>Employment Hero</t>
        </is>
      </c>
      <c r="B53" s="110" t="inlineStr">
        <is>
          <t>INV01049843 - EH subscription September</t>
        </is>
      </c>
      <c r="C53" s="137" t="n">
        <v>46302</v>
      </c>
      <c r="D53" s="138" t="n">
        <v>2248.84</v>
      </c>
      <c r="E53" s="33" t="inlineStr">
        <is>
          <t>Card</t>
        </is>
      </c>
      <c r="F53" s="33" t="inlineStr">
        <is>
          <t>Dues &amp; subscriptions</t>
        </is>
      </c>
      <c r="G53" s="137" t="n">
        <v>46295</v>
      </c>
      <c r="H53" s="18">
        <f>IF(G53&lt;Assumptions!$B$5,"Before",IF(G53&gt;Assumptions!$C$48,"After",INT((G53-Assumptions!$B$5)/7)+1))</f>
        <v>1</v>
      </c>
      <c r="I53" s="18" t="inlineStr">
        <is>
          <t>Xero bill</t>
        </is>
      </c>
      <c r="J53" s="115" t="inlineStr">
        <is>
          <t>Open - PL card, in the card line</t>
        </is>
      </c>
    </row>
    <row r="54">
      <c r="A54" s="18" t="inlineStr">
        <is>
          <t>Goget Carshare</t>
        </is>
      </c>
      <c r="B54" s="110" t="inlineStr">
        <is>
          <t>INV10498230926 - Goget September</t>
        </is>
      </c>
      <c r="C54" s="137" t="n">
        <v>46296</v>
      </c>
      <c r="D54" s="138" t="n">
        <v>629.52</v>
      </c>
      <c r="E54" s="33" t="inlineStr">
        <is>
          <t>Card</t>
        </is>
      </c>
      <c r="F54" s="33" t="inlineStr">
        <is>
          <t>Direct travel &amp; freight</t>
        </is>
      </c>
      <c r="G54" s="137" t="n">
        <v>46295</v>
      </c>
      <c r="H54" s="18">
        <f>IF(G54&lt;Assumptions!$B$5,"Before",IF(G54&gt;Assumptions!$C$48,"After",INT((G54-Assumptions!$B$5)/7)+1))</f>
        <v>1</v>
      </c>
      <c r="I54" s="18" t="inlineStr">
        <is>
          <t>Xero bill</t>
        </is>
      </c>
      <c r="J54" s="115" t="inlineStr">
        <is>
          <t>Open - PL card, in the card line</t>
        </is>
      </c>
    </row>
    <row r="55">
      <c r="A55" s="18" t="inlineStr">
        <is>
          <t>Zoom</t>
        </is>
      </c>
      <c r="B55" s="110" t="inlineStr">
        <is>
          <t>Monthly subscription</t>
        </is>
      </c>
      <c r="C55" s="137" t="n">
        <v>46323</v>
      </c>
      <c r="D55" s="138" t="n">
        <v>323.97</v>
      </c>
      <c r="E55" s="33" t="inlineStr">
        <is>
          <t>Card</t>
        </is>
      </c>
      <c r="F55" s="33" t="inlineStr">
        <is>
          <t>Dues &amp; subscriptions</t>
        </is>
      </c>
      <c r="G55" s="137" t="n">
        <v>46323</v>
      </c>
      <c r="H55" s="18">
        <f>IF(G55&lt;Assumptions!$B$5,"Before",IF(G55&gt;Assumptions!$C$48,"After",INT((G55-Assumptions!$B$5)/7)+1))</f>
        <v>5</v>
      </c>
      <c r="I55" s="18" t="inlineStr">
        <is>
          <t>Repeating template</t>
        </is>
      </c>
      <c r="J55" s="115" t="inlineStr">
        <is>
          <t>PL card</t>
        </is>
      </c>
    </row>
    <row r="56">
      <c r="A56" s="18" t="inlineStr">
        <is>
          <t>Insphire (Current RMS)</t>
        </is>
      </c>
      <c r="B56" s="110" t="inlineStr">
        <is>
          <t>October</t>
        </is>
      </c>
      <c r="C56" s="137" t="n">
        <v>46311</v>
      </c>
      <c r="D56" s="138" t="n">
        <v>431</v>
      </c>
      <c r="E56" s="33" t="inlineStr">
        <is>
          <t>Card</t>
        </is>
      </c>
      <c r="F56" s="33" t="inlineStr">
        <is>
          <t>Dues &amp; subscriptions</t>
        </is>
      </c>
      <c r="G56" s="137" t="n">
        <v>46311</v>
      </c>
      <c r="H56" s="18">
        <f>IF(G56&lt;Assumptions!$B$5,"Before",IF(G56&gt;Assumptions!$C$48,"After",INT((G56-Assumptions!$B$5)/7)+1))</f>
        <v>3</v>
      </c>
      <c r="I56" s="18" t="inlineStr">
        <is>
          <t>Repeating template</t>
        </is>
      </c>
      <c r="J56" s="115" t="inlineStr">
        <is>
          <t>PL card</t>
        </is>
      </c>
    </row>
    <row r="57">
      <c r="A57" s="18" t="inlineStr">
        <is>
          <t>Optus</t>
        </is>
      </c>
      <c r="B57" s="110" t="inlineStr">
        <is>
          <t>Office internet &amp; landline - October</t>
        </is>
      </c>
      <c r="C57" s="137" t="n">
        <v>46316</v>
      </c>
      <c r="D57" s="138" t="n">
        <v>629.66</v>
      </c>
      <c r="E57" s="33" t="inlineStr">
        <is>
          <t>Card</t>
        </is>
      </c>
      <c r="F57" s="33" t="inlineStr">
        <is>
          <t>Telephone &amp; internet</t>
        </is>
      </c>
      <c r="G57" s="137" t="n">
        <v>46316</v>
      </c>
      <c r="H57" s="18">
        <f>IF(G57&lt;Assumptions!$B$5,"Before",IF(G57&gt;Assumptions!$C$48,"After",INT((G57-Assumptions!$B$5)/7)+1))</f>
        <v>4</v>
      </c>
      <c r="I57" s="18" t="inlineStr">
        <is>
          <t>Repeating template</t>
        </is>
      </c>
      <c r="J57" s="115" t="inlineStr">
        <is>
          <t>PL card</t>
        </is>
      </c>
    </row>
    <row r="58">
      <c r="A58" s="18" t="inlineStr">
        <is>
          <t>Adobe / Spotify / Avangate / Telstra recharges / misc</t>
        </is>
      </c>
      <c r="B58" s="110" t="inlineStr">
        <is>
          <t>Small monthly subscriptions</t>
        </is>
      </c>
      <c r="C58" s="137" t="n">
        <v>46310</v>
      </c>
      <c r="D58" s="138" t="n">
        <v>700</v>
      </c>
      <c r="E58" s="33" t="inlineStr">
        <is>
          <t>Card</t>
        </is>
      </c>
      <c r="F58" s="33" t="inlineStr">
        <is>
          <t>Dues &amp; subscriptions</t>
        </is>
      </c>
      <c r="G58" s="137" t="n">
        <v>46310</v>
      </c>
      <c r="H58" s="18">
        <f>IF(G58&lt;Assumptions!$B$5,"Before",IF(G58&gt;Assumptions!$C$48,"After",INT((G58-Assumptions!$B$5)/7)+1))</f>
        <v>3</v>
      </c>
      <c r="I58" s="18" t="inlineStr">
        <is>
          <t>Repeating template</t>
        </is>
      </c>
      <c r="J58" s="115" t="inlineStr">
        <is>
          <t>PL / DL cards - approx</t>
        </is>
      </c>
    </row>
    <row r="59">
      <c r="A59" s="18" t="inlineStr">
        <is>
          <t>Investa Asset Management</t>
        </is>
      </c>
      <c r="B59" s="110" t="inlineStr">
        <is>
          <t>Rent October 2026</t>
        </is>
      </c>
      <c r="C59" s="137" t="n">
        <v>46348</v>
      </c>
      <c r="D59" s="138" t="n">
        <v>29280.72</v>
      </c>
      <c r="E59" s="33" t="inlineStr">
        <is>
          <t>EFT</t>
        </is>
      </c>
      <c r="F59" s="33" t="inlineStr">
        <is>
          <t>Rent</t>
        </is>
      </c>
      <c r="G59" s="137" t="n">
        <v>46348</v>
      </c>
      <c r="H59" s="18" t="str">
        <f>IF(G59&lt;Assumptions!$B$5,"Before",IF(G59&gt;Assumptions!$C$48,"After",INT((G59-Assumptions!$B$5)/7)+1))</f>
        <v>After</v>
      </c>
      <c r="I59" s="18" t="inlineStr">
        <is>
          <t>Repeating template</t>
        </is>
      </c>
      <c r="J59" s="115" t="inlineStr">
        <is>
          <t>Invoiced ~22 Oct, due ~22 Nov - after this forecast</t>
        </is>
      </c>
    </row>
    <row r="60">
      <c r="A60" s="18" t="inlineStr">
        <is>
          <t>Optus</t>
        </is>
      </c>
      <c r="B60" s="110" t="inlineStr">
        <is>
          <t>Staff mobiles - October</t>
        </is>
      </c>
      <c r="C60" s="137" t="n">
        <v>46334</v>
      </c>
      <c r="D60" s="138" t="n">
        <v>804.0599999999999</v>
      </c>
      <c r="E60" s="33" t="inlineStr">
        <is>
          <t>BPAY</t>
        </is>
      </c>
      <c r="F60" s="33" t="inlineStr">
        <is>
          <t>Telephone &amp; internet</t>
        </is>
      </c>
      <c r="G60" s="137" t="n">
        <v>46334</v>
      </c>
      <c r="H60" s="18" t="str">
        <f>IF(G60&lt;Assumptions!$B$5,"Before",IF(G60&gt;Assumptions!$C$48,"After",INT((G60-Assumptions!$B$5)/7)+1))</f>
        <v>After</v>
      </c>
      <c r="I60" s="18" t="inlineStr">
        <is>
          <t>Repeating template</t>
        </is>
      </c>
      <c r="J60" s="115" t="inlineStr">
        <is>
          <t>Due 8 Nov - after this forecast</t>
        </is>
      </c>
    </row>
    <row r="61" s="109">
      <c r="A61" s="18" t="inlineStr">
        <is>
          <t>Brookvale Insurance Brokers</t>
        </is>
      </c>
      <c r="B61" s="110" t="inlineStr">
        <is>
          <t>INV1918462 - IT liability insurance (annual)</t>
        </is>
      </c>
      <c r="C61" s="137" t="n">
        <v>46309</v>
      </c>
      <c r="D61" s="138" t="n">
        <v>35304.46</v>
      </c>
      <c r="E61" s="33" t="inlineStr">
        <is>
          <t>EFT</t>
        </is>
      </c>
      <c r="F61" s="33" t="inlineStr">
        <is>
          <t>Insurance</t>
        </is>
      </c>
      <c r="G61" s="137" t="n">
        <v>46309</v>
      </c>
      <c r="H61" s="18">
        <f>IF(G61&lt;Assumptions!$B$5,"Before",IF(G61&gt;Assumptions!$C$48,"After",INT((G61-Assumptions!$B$5)/7)+1))</f>
        <v>3</v>
      </c>
      <c r="I61" s="18" t="inlineStr">
        <is>
          <t>Xero bill</t>
        </is>
      </c>
      <c r="J61" s="115" t="inlineStr">
        <is>
          <t>Annual renewal, GC approved. Due Wed 14 Oct - all six Brookvale bills go in one payment.</t>
        </is>
      </c>
    </row>
    <row r="62" s="109">
      <c r="A62" s="18" t="inlineStr">
        <is>
          <t>Brookvale Insurance Brokers</t>
        </is>
      </c>
      <c r="B62" s="110" t="inlineStr">
        <is>
          <t>INV1918336 - Removable / electronic equipment insurance (annual)</t>
        </is>
      </c>
      <c r="C62" s="137" t="n">
        <v>46309</v>
      </c>
      <c r="D62" s="138" t="n">
        <v>11283.16</v>
      </c>
      <c r="E62" s="33" t="inlineStr">
        <is>
          <t>EFT</t>
        </is>
      </c>
      <c r="F62" s="33" t="inlineStr">
        <is>
          <t>Insurance</t>
        </is>
      </c>
      <c r="G62" s="137" t="n">
        <v>46309</v>
      </c>
      <c r="H62" s="18">
        <f>IF(G62&lt;Assumptions!$B$5,"Before",IF(G62&gt;Assumptions!$C$48,"After",INT((G62-Assumptions!$B$5)/7)+1))</f>
        <v>3</v>
      </c>
      <c r="I62" s="18" t="inlineStr">
        <is>
          <t>Xero bill</t>
        </is>
      </c>
      <c r="J62" s="115" t="inlineStr">
        <is>
          <t>Annual renewal, GC approved.</t>
        </is>
      </c>
    </row>
    <row r="63" s="109">
      <c r="A63" s="18" t="inlineStr">
        <is>
          <t>Brookvale Insurance Brokers</t>
        </is>
      </c>
      <c r="B63" s="110" t="inlineStr">
        <is>
          <t>INV1918436 - Mecon contract works insurance (annual)</t>
        </is>
      </c>
      <c r="C63" s="137" t="n">
        <v>46309</v>
      </c>
      <c r="D63" s="138" t="n">
        <v>8020.39</v>
      </c>
      <c r="E63" s="33" t="inlineStr">
        <is>
          <t>EFT</t>
        </is>
      </c>
      <c r="F63" s="33" t="inlineStr">
        <is>
          <t>Insurance</t>
        </is>
      </c>
      <c r="G63" s="137" t="n">
        <v>46309</v>
      </c>
      <c r="H63" s="18">
        <f>IF(G63&lt;Assumptions!$B$5,"Before",IF(G63&gt;Assumptions!$C$48,"After",INT((G63-Assumptions!$B$5)/7)+1))</f>
        <v>3</v>
      </c>
      <c r="I63" s="18" t="inlineStr">
        <is>
          <t>Xero bill</t>
        </is>
      </c>
      <c r="J63" s="115" t="inlineStr">
        <is>
          <t>Annual renewal, GC approved.</t>
        </is>
      </c>
    </row>
    <row r="64" s="109">
      <c r="A64" s="18" t="inlineStr">
        <is>
          <t>Brookvale Insurance Brokers</t>
        </is>
      </c>
      <c r="B64" s="110" t="inlineStr">
        <is>
          <t>INV1920058 - Management liability insurance (annual)</t>
        </is>
      </c>
      <c r="C64" s="137" t="n">
        <v>46309</v>
      </c>
      <c r="D64" s="138" t="n">
        <v>6778.21</v>
      </c>
      <c r="E64" s="33" t="inlineStr">
        <is>
          <t>EFT</t>
        </is>
      </c>
      <c r="F64" s="33" t="inlineStr">
        <is>
          <t>Insurance</t>
        </is>
      </c>
      <c r="G64" s="137" t="n">
        <v>46309</v>
      </c>
      <c r="H64" s="18">
        <f>IF(G64&lt;Assumptions!$B$5,"Before",IF(G64&gt;Assumptions!$C$48,"After",INT((G64-Assumptions!$B$5)/7)+1))</f>
        <v>3</v>
      </c>
      <c r="I64" s="18" t="inlineStr">
        <is>
          <t>Xero bill</t>
        </is>
      </c>
      <c r="J64" s="115" t="inlineStr">
        <is>
          <t>Annual renewal, GC approved.</t>
        </is>
      </c>
    </row>
    <row r="65">
      <c r="A65" s="18" t="inlineStr">
        <is>
          <t>Brookvale Insurance Brokers</t>
        </is>
      </c>
      <c r="B65" s="110" t="inlineStr">
        <is>
          <t>INV1920113 - Business pack insurance (annual)</t>
        </is>
      </c>
      <c r="C65" s="137" t="n">
        <v>46309</v>
      </c>
      <c r="D65" s="138" t="n">
        <v>3510.52</v>
      </c>
      <c r="E65" s="33" t="inlineStr">
        <is>
          <t>EFT</t>
        </is>
      </c>
      <c r="F65" s="33" t="inlineStr">
        <is>
          <t>Insurance</t>
        </is>
      </c>
      <c r="G65" s="137" t="n">
        <v>46309</v>
      </c>
      <c r="H65" s="18">
        <f>IF(G65&lt;Assumptions!$B$5,"Before",IF(G65&gt;Assumptions!$C$48,"After",INT((G65-Assumptions!$B$5)/7)+1))</f>
        <v>3</v>
      </c>
      <c r="I65" s="18" t="inlineStr">
        <is>
          <t>Xero bill</t>
        </is>
      </c>
      <c r="J65" s="115" t="inlineStr">
        <is>
          <t>Annual renewal, GC approved.</t>
        </is>
      </c>
    </row>
    <row r="66">
      <c r="A66" s="18" t="inlineStr">
        <is>
          <t>Brookvale Insurance Brokers</t>
        </is>
      </c>
      <c r="B66" s="110" t="inlineStr">
        <is>
          <t>INV1914759 - Corporate travel insurance (annual)</t>
        </is>
      </c>
      <c r="C66" s="137" t="n">
        <v>46309</v>
      </c>
      <c r="D66" s="138" t="n">
        <v>1342.24</v>
      </c>
      <c r="E66" s="33" t="inlineStr">
        <is>
          <t>EFT</t>
        </is>
      </c>
      <c r="F66" s="33" t="inlineStr">
        <is>
          <t>Insurance</t>
        </is>
      </c>
      <c r="G66" s="137" t="n">
        <v>46309</v>
      </c>
      <c r="H66" s="18">
        <f>IF(G66&lt;Assumptions!$B$5,"Before",IF(G66&gt;Assumptions!$C$48,"After",INT((G66-Assumptions!$B$5)/7)+1))</f>
        <v>3</v>
      </c>
      <c r="I66" s="18" t="inlineStr">
        <is>
          <t>Xero bill</t>
        </is>
      </c>
      <c r="J66" s="115" t="inlineStr">
        <is>
          <t>Annual renewal, GC approved.</t>
        </is>
      </c>
    </row>
    <row r="67">
      <c r="A67" s="18" t="inlineStr">
        <is>
          <t>Contact Group</t>
        </is>
      </c>
      <c r="B67" s="110" t="inlineStr">
        <is>
          <t>INV457215 - DTTL Hobart AV fitout equipment &amp; labour</t>
        </is>
      </c>
      <c r="C67" s="137" t="n">
        <v>46327</v>
      </c>
      <c r="D67" s="138" t="n">
        <v>9652.540000000001</v>
      </c>
      <c r="E67" s="33" t="inlineStr">
        <is>
          <t>EFT</t>
        </is>
      </c>
      <c r="F67" s="33" t="inlineStr">
        <is>
          <t>Equipment purchases</t>
        </is>
      </c>
      <c r="G67" s="137" t="n">
        <v>46328</v>
      </c>
      <c r="H67" s="18">
        <f>IF(G67&lt;Assumptions!$B$5,"Before",IF(G67&gt;Assumptions!$C$48,"After",INT((G67-Assumptions!$B$5)/7)+1))</f>
        <v>6</v>
      </c>
      <c r="I67" s="18" t="inlineStr">
        <is>
          <t>Xero bill</t>
        </is>
      </c>
      <c r="J67" s="115" t="inlineStr">
        <is>
          <t>Due Sun 1 Nov, pay Mon 2 Nov (week 5).</t>
        </is>
      </c>
    </row>
    <row r="68">
      <c r="A68" s="18" t="inlineStr">
        <is>
          <t>Contact Group</t>
        </is>
      </c>
      <c r="B68" s="110" t="inlineStr">
        <is>
          <t>INV457214 - DTTL Hobart AV fitout equipment</t>
        </is>
      </c>
      <c r="C68" s="137" t="n">
        <v>46327</v>
      </c>
      <c r="D68" s="138" t="n">
        <v>903.38</v>
      </c>
      <c r="E68" s="33" t="inlineStr">
        <is>
          <t>EFT</t>
        </is>
      </c>
      <c r="F68" s="33" t="inlineStr">
        <is>
          <t>Equipment purchases</t>
        </is>
      </c>
      <c r="G68" s="137" t="n">
        <v>46328</v>
      </c>
      <c r="H68" s="18">
        <f>IF(G68&lt;Assumptions!$B$5,"Before",IF(G68&gt;Assumptions!$C$48,"After",INT((G68-Assumptions!$B$5)/7)+1))</f>
        <v>6</v>
      </c>
      <c r="I68" s="18" t="inlineStr">
        <is>
          <t>Xero bill</t>
        </is>
      </c>
      <c r="J68" s="115" t="inlineStr">
        <is>
          <t>Due Sun 1 Nov, pay Mon 2 Nov (week 5).</t>
        </is>
      </c>
    </row>
    <row r="69">
      <c r="A69" s="18" t="inlineStr">
        <is>
          <t>Luminous Reputation Management</t>
        </is>
      </c>
      <c r="B69" s="110" t="inlineStr">
        <is>
          <t>INV7200 - CTS 20 logo anniversary, balance of project fees</t>
        </is>
      </c>
      <c r="C69" s="137" t="n">
        <v>46325</v>
      </c>
      <c r="D69" s="138" t="n">
        <v>4823.5</v>
      </c>
      <c r="E69" s="33" t="inlineStr">
        <is>
          <t>EFT</t>
        </is>
      </c>
      <c r="F69" s="33" t="inlineStr">
        <is>
          <t>Advertising</t>
        </is>
      </c>
      <c r="G69" s="137" t="n">
        <v>46325</v>
      </c>
      <c r="H69" s="18">
        <f>IF(G69&lt;Assumptions!$B$5,"Before",IF(G69&gt;Assumptions!$C$48,"After",INT((G69-Assumptions!$B$5)/7)+1))</f>
        <v>5</v>
      </c>
      <c r="I69" s="18" t="inlineStr">
        <is>
          <t>Xero bill</t>
        </is>
      </c>
      <c r="J69" s="115" t="inlineStr">
        <is>
          <t>DL approved. On the due date (week 5).</t>
        </is>
      </c>
    </row>
    <row r="70">
      <c r="A70" s="18" t="inlineStr">
        <is>
          <t>Easton Belle</t>
        </is>
      </c>
      <c r="B70" s="110" t="inlineStr">
        <is>
          <t>INV00004009 - legal fees, general commercial file</t>
        </is>
      </c>
      <c r="C70" s="137" t="n">
        <v>46325</v>
      </c>
      <c r="D70" s="138" t="n">
        <v>3932.5</v>
      </c>
      <c r="E70" s="33" t="inlineStr">
        <is>
          <t>EFT</t>
        </is>
      </c>
      <c r="F70" s="33" t="inlineStr">
        <is>
          <t>Professional fees</t>
        </is>
      </c>
      <c r="G70" s="137" t="n">
        <v>46325</v>
      </c>
      <c r="H70" s="18">
        <f>IF(G70&lt;Assumptions!$B$5,"Before",IF(G70&gt;Assumptions!$C$48,"After",INT((G70-Assumptions!$B$5)/7)+1))</f>
        <v>5</v>
      </c>
      <c r="I70" s="18" t="inlineStr">
        <is>
          <t>Xero bill</t>
        </is>
      </c>
      <c r="J70" s="115" t="inlineStr">
        <is>
          <t>DL approved. On the due date (week 5).</t>
        </is>
      </c>
    </row>
    <row r="71">
      <c r="A71" s="18" t="inlineStr">
        <is>
          <t>Ricoh Australia</t>
        </is>
      </c>
      <c r="B71" s="110" t="inlineStr">
        <is>
          <t>INV15775235 - printing Sep</t>
        </is>
      </c>
      <c r="C71" s="137" t="n">
        <v>46326</v>
      </c>
      <c r="D71" s="138" t="n">
        <v>210.2</v>
      </c>
      <c r="E71" s="33" t="inlineStr">
        <is>
          <t>DD</t>
        </is>
      </c>
      <c r="F71" s="33" t="inlineStr">
        <is>
          <t>Office</t>
        </is>
      </c>
      <c r="G71" s="137" t="n">
        <v>46325</v>
      </c>
      <c r="H71" s="18">
        <f>IF(G71&lt;Assumptions!$B$5,"Before",IF(G71&gt;Assumptions!$C$48,"After",INT((G71-Assumptions!$B$5)/7)+1))</f>
        <v>5</v>
      </c>
      <c r="I71" s="18" t="inlineStr">
        <is>
          <t>Xero bill</t>
        </is>
      </c>
      <c r="J71" s="115" t="inlineStr">
        <is>
          <t>Direct debit</t>
        </is>
      </c>
    </row>
    <row r="72">
      <c r="A72" s="18" t="inlineStr">
        <is>
          <t>Optus</t>
        </is>
      </c>
      <c r="B72" s="110" t="inlineStr">
        <is>
          <t>INV000599632521 - Lugstein home internet Oct</t>
        </is>
      </c>
      <c r="C72" s="137" t="n">
        <v>46315</v>
      </c>
      <c r="D72" s="138" t="n">
        <v>101.2</v>
      </c>
      <c r="E72" s="33" t="inlineStr">
        <is>
          <t>BPAY</t>
        </is>
      </c>
      <c r="F72" s="33" t="inlineStr">
        <is>
          <t>Telephone &amp; internet</t>
        </is>
      </c>
      <c r="G72" s="137" t="n">
        <v>46315</v>
      </c>
      <c r="H72" s="18">
        <f>IF(G72&lt;Assumptions!$B$5,"Before",IF(G72&gt;Assumptions!$C$48,"After",INT((G72-Assumptions!$B$5)/7)+1))</f>
        <v>4</v>
      </c>
      <c r="I72" s="18" t="inlineStr">
        <is>
          <t>Xero bill</t>
        </is>
      </c>
      <c r="J72" s="115" t="inlineStr">
        <is>
          <t>BPAY on the due date</t>
        </is>
      </c>
    </row>
    <row r="73">
      <c r="A73" s="18" t="inlineStr">
        <is>
          <t>Flatworld Solutions</t>
        </is>
      </c>
      <c r="B73" s="110" t="inlineStr">
        <is>
          <t>INV2026/USA-09032 - Seek data entry Sep</t>
        </is>
      </c>
      <c r="C73" s="137" t="n">
        <v>46301</v>
      </c>
      <c r="D73" s="138" t="n">
        <v>92.20999999999999</v>
      </c>
      <c r="E73" s="33" t="inlineStr">
        <is>
          <t>Card</t>
        </is>
      </c>
      <c r="F73" s="33" t="inlineStr">
        <is>
          <t>Professional fees</t>
        </is>
      </c>
      <c r="G73" s="137" t="n">
        <v>46301</v>
      </c>
      <c r="H73" s="18">
        <f>IF(G73&lt;Assumptions!$B$5,"Before",IF(G73&gt;Assumptions!$C$48,"After",INT((G73-Assumptions!$B$5)/7)+1))</f>
        <v>2</v>
      </c>
      <c r="I73" s="18" t="inlineStr">
        <is>
          <t>Xero bill</t>
        </is>
      </c>
      <c r="J73" s="115" t="inlineStr">
        <is>
          <t>PL card</t>
        </is>
      </c>
    </row>
    <row r="77" s="109">
      <c r="A77" s="13" t="inlineStr">
        <is>
          <t>TOTAL bills listed from Xero (open at 28 Sep $283,042.53, plus the bills raised since - added 12 Oct)</t>
        </is>
      </c>
      <c r="B77" s="16" t="n"/>
      <c r="C77" s="16" t="n"/>
      <c r="D77" s="142">
        <f>SUMIFS(D19:D75,I19:I75,"Xero bill")</f>
        <v>398159.04</v>
      </c>
      <c r="E77" s="16" t="n"/>
      <c r="F77" s="16" t="n"/>
      <c r="G77" s="16" t="n"/>
      <c r="H77" s="16" t="n"/>
      <c r="I77" s="16" t="n"/>
      <c r="J77" s="16" t="n"/>
    </row>
    <row r="78" s="109">
      <c r="A78" s="29" t="inlineStr">
        <is>
          <t>of which paid by card (left out - see the credit card line)</t>
        </is>
      </c>
      <c r="D78" s="143">
        <f>SUMIFS(D19:D75,E19:E75,"Card",I19:I75,"Xero bill")</f>
        <v>6699.090000000001</v>
      </c>
    </row>
    <row r="79" s="109">
      <c r="A79" s="29" t="inlineStr">
        <is>
          <t>Templates (non-card) inside the forecast</t>
        </is>
      </c>
      <c r="D79" s="143">
        <f>SUMIFS(D19:D75,I19:I75,"Repeating template",E19:E75,"&lt;&gt;Card",G19:G75,"&gt;="&amp;Assumptions!$B$5,G19:G75,"&lt;="&amp;Assumptions!$C$48)</f>
        <v>7040</v>
      </c>
    </row>
    <row r="80" s="109">
      <c r="A80" s="29" t="inlineStr">
        <is>
          <t>Non-card bills dated past the forecast (Oct rent, Oct mobiles)</t>
        </is>
      </c>
      <c r="D80" s="143">
        <f>SUMIFS(D19:D75,E19:E75,"&lt;&gt;Card",G19:G75,"&gt;"&amp;Assumptions!$C$48)</f>
        <v>30084.780000000002</v>
      </c>
    </row>
  </sheetData>
  <autoFilter ref="A18:J60"/>
  <mergeCells count="1">
    <mergeCell ref="A17:J17"/>
  </mergeCells>
  <conditionalFormatting sqref="A19:J60">
    <cfRule type="expression" priority="1" dxfId="0">
      <formula>$H19=1</formula>
    </cfRule>
  </conditionalFormatting>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fitToPage="1"/>
  </sheetPr>
  <dimension ref="A1:O62"/>
  <sheetViews>
    <sheetView showGridLines="0" topLeftCell="B1" workbookViewId="0">
      <pane ySplit="4" topLeftCell="A5" activePane="bottomLeft" state="frozen"/>
      <selection pane="bottomLeft" activeCell="O6" sqref="O6"/>
    </sheetView>
  </sheetViews>
  <sheetFormatPr baseColWidth="8" defaultRowHeight="15"/>
  <cols>
    <col width="62" customWidth="1" style="109" min="1" max="1"/>
    <col width="8" customWidth="1" style="109" min="2" max="2"/>
    <col width="14" customWidth="1" style="109" min="3" max="3"/>
    <col width="16" customWidth="1" style="109" min="4" max="4"/>
    <col width="60" customWidth="1" style="109" min="5" max="5"/>
    <col width="20.42578125" customWidth="1" style="109" min="7" max="7"/>
    <col width="42.28515625" customWidth="1" style="109" min="8" max="8"/>
    <col width="12.85546875" bestFit="1" customWidth="1" style="109" min="9" max="9"/>
    <col width="15.5703125" bestFit="1" customWidth="1" style="109" min="10" max="10"/>
    <col width="14.140625" bestFit="1" customWidth="1" style="109" min="11" max="11"/>
    <col width="12.7109375" bestFit="1" customWidth="1" style="109" min="12" max="12"/>
  </cols>
  <sheetData>
    <row r="1" ht="18" customHeight="1" s="109">
      <c r="A1" s="1" t="inlineStr">
        <is>
          <t>Complete AV Solutions - INV41565 - what we paid and when</t>
        </is>
      </c>
    </row>
    <row r="2" ht="42" customHeight="1" s="109">
      <c r="A2" s="115" t="inlineStr">
        <is>
          <t>Aware Super seminar room audio upgrade (Q-12140v1, PO-00016902). Bill total $178,119.25 inc GST, dated 1 Sep, due 26 Sep. Agreed 28 Sep (Graham / Jordan): pay the materials now, hold labour and programming until Aware sign off and we get the handover docs. Line items are straight off the bill in Xero. Update 12 Oct: the labour and programming that was held ($39,033.02) was released and paid Thu 8 Oct, so the whole bill is now paid.</t>
        </is>
      </c>
      <c r="G2" s="116" t="inlineStr">
        <is>
          <t>GC amounts Per Email received on the 29/09/2026</t>
        </is>
      </c>
    </row>
    <row r="4">
      <c r="A4" s="7" t="inlineStr">
        <is>
          <t>Line on the bill</t>
        </is>
      </c>
      <c r="B4" s="7" t="inlineStr">
        <is>
          <t>Qty</t>
        </is>
      </c>
      <c r="C4" s="7" t="inlineStr">
        <is>
          <t>Unit (ex GST)</t>
        </is>
      </c>
      <c r="D4" s="7" t="inlineStr">
        <is>
          <t>Amount (ex GST)</t>
        </is>
      </c>
      <c r="E4" s="7" t="inlineStr">
        <is>
          <t>Notes</t>
        </is>
      </c>
      <c r="G4" s="82" t="inlineStr">
        <is>
          <t>Line</t>
        </is>
      </c>
      <c r="H4" s="82" t="inlineStr">
        <is>
          <t>Description</t>
        </is>
      </c>
      <c r="I4" s="82" t="inlineStr">
        <is>
          <t>CAV cost ex GST</t>
        </is>
      </c>
      <c r="J4" s="82" t="inlineStr">
        <is>
          <t>Claim 1 claimed</t>
        </is>
      </c>
      <c r="K4" s="82" t="inlineStr">
        <is>
          <t>GC verified</t>
        </is>
      </c>
      <c r="L4" s="82" t="inlineStr">
        <is>
          <t>Balance held</t>
        </is>
      </c>
    </row>
    <row r="5">
      <c r="A5" s="22" t="inlineStr">
        <is>
          <t>Hardware</t>
        </is>
      </c>
      <c r="G5" t="inlineStr">
        <is>
          <t>CTS PO PO-00016902</t>
        </is>
      </c>
      <c r="H5" t="inlineStr">
        <is>
          <t>Main PO 1 of 2 - seminar room audio upgrade</t>
        </is>
      </c>
      <c r="I5" s="154" t="n">
        <v>177457.98</v>
      </c>
      <c r="J5" s="154" t="n">
        <v>177457.98</v>
      </c>
      <c r="K5" s="154" t="n">
        <v>140320.33</v>
      </c>
      <c r="L5" s="154" t="n">
        <v>37137.65</v>
      </c>
    </row>
    <row r="6">
      <c r="A6" s="18" t="inlineStr">
        <is>
          <t xml:space="preserve">   Crestron DM-NVX-E30 4K network AV encoder</t>
        </is>
      </c>
      <c r="B6" s="45" t="n">
        <v>6</v>
      </c>
      <c r="C6" s="143" t="n">
        <v>1345.56</v>
      </c>
      <c r="D6" s="143">
        <f>B6*C6</f>
        <v>8073.36</v>
      </c>
      <c r="G6" t="inlineStr">
        <is>
          <t>CTS PO PO-00016899</t>
        </is>
      </c>
      <c r="H6" t="inlineStr">
        <is>
          <t>PO 2 of 2 - camera upgrade, not yet billed</t>
        </is>
      </c>
      <c r="I6" s="154" t="n">
        <v>17700.52</v>
      </c>
      <c r="J6" s="154" t="n">
        <v>0</v>
      </c>
      <c r="K6" s="154" t="n">
        <v>0</v>
      </c>
      <c r="L6" s="154" t="n">
        <v>0</v>
      </c>
    </row>
    <row r="7">
      <c r="A7" s="18" t="inlineStr">
        <is>
          <t xml:space="preserve">   Crestron DM-NVX-385 AV-over-IP switcher</t>
        </is>
      </c>
      <c r="B7" s="45" t="n">
        <v>2</v>
      </c>
      <c r="C7" s="143" t="n">
        <v>3390.25</v>
      </c>
      <c r="D7" s="143">
        <f>B7*C7</f>
        <v>6780.5</v>
      </c>
      <c r="G7" t="inlineStr">
        <is>
          <t>CAV Vary 1.1</t>
        </is>
      </c>
      <c r="H7" s="84" t="inlineStr">
        <is>
          <t>Removed Panasonic cameras &amp; licences</t>
        </is>
      </c>
      <c r="I7" s="154" t="n">
        <v>-7281.07</v>
      </c>
      <c r="J7" s="154" t="n">
        <v>-7281.07</v>
      </c>
      <c r="K7" s="155" t="n">
        <v>-7281.07</v>
      </c>
      <c r="L7" s="154" t="n">
        <v>0</v>
      </c>
    </row>
    <row r="8">
      <c r="A8" s="18" t="inlineStr">
        <is>
          <t xml:space="preserve">   Crestron DM-NVX-360 encoder/decoder</t>
        </is>
      </c>
      <c r="B8" s="45" t="n">
        <v>8</v>
      </c>
      <c r="C8" s="143" t="n">
        <v>2144.14</v>
      </c>
      <c r="D8" s="143">
        <f>B8*C8</f>
        <v>17153.12</v>
      </c>
      <c r="G8" t="inlineStr">
        <is>
          <t>CAV Vary 1.2</t>
        </is>
      </c>
      <c r="H8" t="inlineStr">
        <is>
          <t>RMB hardware added (mount kit)</t>
        </is>
      </c>
      <c r="I8" s="154" t="n">
        <v>321.5</v>
      </c>
      <c r="J8" s="154" t="n">
        <v>321.5</v>
      </c>
      <c r="K8" s="155" t="n">
        <v>321.5</v>
      </c>
      <c r="L8" s="154" t="n">
        <v>0</v>
      </c>
    </row>
    <row r="9">
      <c r="A9" s="18" t="inlineStr">
        <is>
          <t xml:space="preserve">   Panasonic AW-UE40 4K integrated camera</t>
        </is>
      </c>
      <c r="B9" s="45" t="n">
        <v>4</v>
      </c>
      <c r="C9" s="143" t="n">
        <v>4063.96</v>
      </c>
      <c r="D9" s="143">
        <f>B9*C9</f>
        <v>16255.84</v>
      </c>
      <c r="G9" t="inlineStr">
        <is>
          <t>CAV Vary 1.3</t>
        </is>
      </c>
      <c r="H9" t="inlineStr">
        <is>
          <t>Removed control processor (Crestron CP4N)</t>
        </is>
      </c>
      <c r="I9" s="154" t="n">
        <v>-3032.23</v>
      </c>
      <c r="J9" s="154" t="n">
        <v>-3032.23</v>
      </c>
      <c r="K9" s="155" t="n">
        <v>-3032.23</v>
      </c>
      <c r="L9" s="154" t="n">
        <v>0</v>
      </c>
    </row>
    <row r="10">
      <c r="A10" s="18" t="inlineStr">
        <is>
          <t xml:space="preserve">   Crestron UC-C100-T Teams Rooms integrator kit</t>
        </is>
      </c>
      <c r="B10" s="45" t="n">
        <v>2</v>
      </c>
      <c r="C10" s="143" t="n">
        <v>5350.41</v>
      </c>
      <c r="D10" s="143">
        <f>B10*C10</f>
        <v>10700.82</v>
      </c>
      <c r="G10" t="inlineStr">
        <is>
          <t>CAV Vary 1.4</t>
        </is>
      </c>
      <c r="H10" t="inlineStr">
        <is>
          <t>Removed camera Crestron decoder</t>
        </is>
      </c>
      <c r="I10" s="154" t="n">
        <v>-4600.2</v>
      </c>
      <c r="J10" s="154" t="n">
        <v>-4600.2</v>
      </c>
      <c r="K10" s="155" t="n">
        <v>-4600.2</v>
      </c>
      <c r="L10" s="154" t="n">
        <v>0</v>
      </c>
    </row>
    <row r="11">
      <c r="A11" s="18" t="inlineStr">
        <is>
          <t xml:space="preserve">   Q-SYS Core 24f DSP</t>
        </is>
      </c>
      <c r="B11" s="45" t="n">
        <v>2</v>
      </c>
      <c r="C11" s="143" t="n">
        <v>8295.67</v>
      </c>
      <c r="D11" s="143">
        <f>B11*C11</f>
        <v>16591.34</v>
      </c>
      <c r="G11" t="inlineStr">
        <is>
          <t>CAV Vary 1.5</t>
        </is>
      </c>
      <c r="H11" t="inlineStr">
        <is>
          <t>Rack cabling</t>
        </is>
      </c>
      <c r="I11" s="154" t="n">
        <v>691.6</v>
      </c>
      <c r="J11" s="154" t="n">
        <v>691.6</v>
      </c>
      <c r="K11" s="154" t="n">
        <v>0</v>
      </c>
      <c r="L11" s="154" t="n">
        <v>691.6</v>
      </c>
    </row>
    <row r="12">
      <c r="A12" s="18" t="inlineStr">
        <is>
          <t xml:space="preserve">   Crestron DM-NAX Bluetooth audio wall plate</t>
        </is>
      </c>
      <c r="B12" s="45" t="n">
        <v>2</v>
      </c>
      <c r="C12" s="143" t="n">
        <v>815.49</v>
      </c>
      <c r="D12" s="143">
        <f>B12*C12</f>
        <v>1630.98</v>
      </c>
      <c r="G12" t="inlineStr">
        <is>
          <t>CAV Vary 1.6</t>
        </is>
      </c>
      <c r="H12" t="inlineStr">
        <is>
          <t>Graphics card (card only verified)</t>
        </is>
      </c>
      <c r="I12" s="154" t="n">
        <v>2153.7</v>
      </c>
      <c r="J12" s="154" t="n">
        <v>2153.7</v>
      </c>
      <c r="K12" s="154" t="n">
        <v>713.7</v>
      </c>
      <c r="L12" s="154" t="n">
        <v>1440</v>
      </c>
    </row>
    <row r="13">
      <c r="A13" s="18" t="inlineStr">
        <is>
          <t xml:space="preserve">   Crestron FP-G1-B-T face plate</t>
        </is>
      </c>
      <c r="B13" s="45" t="n">
        <v>2</v>
      </c>
      <c r="C13" s="143" t="n">
        <v>21</v>
      </c>
      <c r="D13" s="143">
        <f>B13*C13</f>
        <v>42</v>
      </c>
      <c r="G13" t="inlineStr">
        <is>
          <t>CAV Vary 1.7</t>
        </is>
      </c>
      <c r="H13" t="inlineStr">
        <is>
          <t>Lighting integration programming</t>
        </is>
      </c>
      <c r="I13" s="154" t="n">
        <v>1064</v>
      </c>
      <c r="J13" s="154" t="n">
        <v>1064</v>
      </c>
      <c r="K13" s="154" t="n">
        <v>0</v>
      </c>
      <c r="L13" s="154" t="n">
        <v>1064</v>
      </c>
    </row>
    <row r="14">
      <c r="A14" s="18" t="inlineStr">
        <is>
          <t xml:space="preserve">   Crestron TSS-880 room scheduling touch screen</t>
        </is>
      </c>
      <c r="B14" s="45" t="n">
        <v>2</v>
      </c>
      <c r="C14" s="143" t="n">
        <v>1223.23</v>
      </c>
      <c r="D14" s="143">
        <f>B14*C14</f>
        <v>2446.46</v>
      </c>
      <c r="G14" t="inlineStr">
        <is>
          <t>Total</t>
        </is>
      </c>
      <c r="I14" s="154">
        <f>SUM(I5:I13)</f>
        <v>184475.8</v>
      </c>
      <c r="J14" s="154">
        <f>SUM(J5:J13)</f>
        <v>166775.28</v>
      </c>
      <c r="K14" s="156">
        <f>SUM(K5:K13)</f>
        <v>126442.02999999998</v>
      </c>
      <c r="L14" s="154">
        <f>SUM(L5:L13)</f>
        <v>40333.25</v>
      </c>
      <c r="O14" s="157" t="n"/>
    </row>
    <row r="15">
      <c r="A15" s="18" t="inlineStr">
        <is>
          <t xml:space="preserve">   Crestron TSW-1080 wall mount touch screen</t>
        </is>
      </c>
      <c r="B15" s="45" t="n">
        <v>2</v>
      </c>
      <c r="C15" s="143" t="n">
        <v>3186.38</v>
      </c>
      <c r="D15" s="143">
        <f>B15*C15</f>
        <v>6372.76</v>
      </c>
      <c r="I15" s="154" t="n"/>
      <c r="J15" s="154" t="n"/>
      <c r="K15" s="154">
        <f>K14-126442.03</f>
        <v>-1.4551915228366852e-11</v>
      </c>
      <c r="L15" s="154" t="n"/>
    </row>
    <row r="16">
      <c r="A16" s="18" t="inlineStr">
        <is>
          <t xml:space="preserve">   Crestron CP4N control system</t>
        </is>
      </c>
      <c r="B16" s="45" t="n">
        <v>1</v>
      </c>
      <c r="C16" s="143" t="n">
        <v>3032.23</v>
      </c>
      <c r="D16" s="143">
        <f>B16*C16</f>
        <v>3032.23</v>
      </c>
      <c r="I16" s="154" t="n"/>
      <c r="J16" s="158" t="n"/>
      <c r="K16" s="159" t="n"/>
      <c r="L16" s="154" t="n"/>
    </row>
    <row r="17">
      <c r="A17" s="18" t="inlineStr">
        <is>
          <t xml:space="preserve">   Netgear M4250 PoE+ managed switch</t>
        </is>
      </c>
      <c r="B17" s="45" t="n">
        <v>2</v>
      </c>
      <c r="C17" s="143" t="n">
        <v>3179.58</v>
      </c>
      <c r="D17" s="143">
        <f>B17*C17</f>
        <v>6359.16</v>
      </c>
      <c r="K17" s="82" t="inlineStr">
        <is>
          <t xml:space="preserve">Amount to Pay </t>
        </is>
      </c>
      <c r="L17" s="82" t="inlineStr">
        <is>
          <t xml:space="preserve">Amount to Hold </t>
        </is>
      </c>
    </row>
    <row r="18">
      <c r="A18" s="18" t="inlineStr">
        <is>
          <t xml:space="preserve">   Netgear AXC761 SFP+ transceiver</t>
        </is>
      </c>
      <c r="B18" s="45" t="n">
        <v>2</v>
      </c>
      <c r="C18" s="143" t="n">
        <v>121.46</v>
      </c>
      <c r="D18" s="143">
        <f>B18*C18</f>
        <v>242.92</v>
      </c>
      <c r="G18" s="87" t="inlineStr">
        <is>
          <t>GST 10%</t>
        </is>
      </c>
      <c r="K18" s="160">
        <f>ROUND(K14*0.1,2)</f>
        <v>12644.2</v>
      </c>
      <c r="L18" s="161">
        <f>ROUND(L14*0.1,2)</f>
        <v>4033.33</v>
      </c>
    </row>
    <row r="19">
      <c r="A19" s="18" t="inlineStr">
        <is>
          <t xml:space="preserve">   Crestron DM-NVX-E30 encoder (second batch)</t>
        </is>
      </c>
      <c r="B19" s="45" t="n">
        <v>2</v>
      </c>
      <c r="C19" s="143" t="n">
        <v>1517.06</v>
      </c>
      <c r="D19" s="143">
        <f>B19*C19</f>
        <v>3034.12</v>
      </c>
      <c r="G19" s="89" t="inlineStr">
        <is>
          <t>PAYING NOW (incl GST)</t>
        </is>
      </c>
      <c r="H19" s="54" t="n"/>
      <c r="I19" s="54" t="n"/>
      <c r="J19" s="54" t="n"/>
      <c r="K19" s="162">
        <f>K14+K18</f>
        <v>139086.22999999998</v>
      </c>
      <c r="L19" s="163">
        <f>L14+L18</f>
        <v>44366.58</v>
      </c>
    </row>
    <row r="20">
      <c r="A20" s="18" t="inlineStr">
        <is>
          <t xml:space="preserve">   Panasonic AW-SF200Z auto tracking software</t>
        </is>
      </c>
      <c r="B20" s="45" t="n">
        <v>1</v>
      </c>
      <c r="C20" s="143" t="n">
        <v>2541.01</v>
      </c>
      <c r="D20" s="143">
        <f>B20*C20</f>
        <v>2541.01</v>
      </c>
      <c r="G20" s="91" t="n"/>
      <c r="H20" s="92" t="n"/>
      <c r="I20" s="92" t="n"/>
      <c r="J20" s="92" t="n"/>
      <c r="K20" s="163" t="n"/>
      <c r="L20" s="163" t="n"/>
    </row>
    <row r="21">
      <c r="A21" s="18" t="inlineStr">
        <is>
          <t xml:space="preserve">   Panasonic AW-SF300Z visual preset software</t>
        </is>
      </c>
      <c r="B21" s="45" t="n">
        <v>1</v>
      </c>
      <c r="C21" s="143" t="n">
        <v>1921.47</v>
      </c>
      <c r="D21" s="143">
        <f>B21*C21</f>
        <v>1921.47</v>
      </c>
      <c r="G21" s="91" t="inlineStr">
        <is>
          <t>Xero Supplier Invoice Amount INV41565 ( Complete AV Solutions)</t>
        </is>
      </c>
      <c r="H21" s="92" t="n"/>
      <c r="I21" s="92" t="n"/>
      <c r="J21" s="92" t="n"/>
      <c r="K21" s="163" t="n"/>
      <c r="L21" s="163">
        <f>D59</f>
        <v>178119.25</v>
      </c>
    </row>
    <row r="22">
      <c r="A22" s="18" t="inlineStr">
        <is>
          <t xml:space="preserve">   Panasonic AW-SF501Z auto framing software</t>
        </is>
      </c>
      <c r="B22" s="45" t="n">
        <v>1</v>
      </c>
      <c r="C22" s="143" t="n">
        <v>5309.33</v>
      </c>
      <c r="D22" s="143">
        <f>B22*C22</f>
        <v>5309.33</v>
      </c>
      <c r="G22" s="94" t="inlineStr">
        <is>
          <t>NOT YET BILLED - $4,848.68 ex GST / $5,333.55 inc GST. Complete AV's own "remaining claim balance to be invoiced" line on INV41565. Not in Xero yet, so not in the forecast. Will come as a new bill; add it to Payables when it lands.</t>
        </is>
      </c>
      <c r="H22" s="94" t="n"/>
      <c r="I22" s="94" t="n"/>
      <c r="J22" s="94" t="n"/>
      <c r="K22" s="94" t="n"/>
      <c r="L22" s="164">
        <f>SUM(K19:L19)-L21</f>
        <v>5333.559999999998</v>
      </c>
    </row>
    <row r="23">
      <c r="A23" s="18" t="inlineStr">
        <is>
          <t xml:space="preserve">   Precision Computers 4U rack-mount PC</t>
        </is>
      </c>
      <c r="B23" s="45" t="n">
        <v>1</v>
      </c>
      <c r="C23" s="143" t="n">
        <v>3883.95</v>
      </c>
      <c r="D23" s="143">
        <f>B23*C23</f>
        <v>3883.95</v>
      </c>
    </row>
    <row r="24">
      <c r="A24" s="18" t="inlineStr">
        <is>
          <t xml:space="preserve">   Sennheiser TeamConnect Ceiling 2 mic</t>
        </is>
      </c>
      <c r="B24" s="45" t="n">
        <v>4</v>
      </c>
      <c r="C24" s="143" t="n">
        <v>5946.65</v>
      </c>
      <c r="D24" s="143">
        <f>B24*C24</f>
        <v>23786.6</v>
      </c>
    </row>
    <row r="25">
      <c r="A25" s="18" t="inlineStr">
        <is>
          <t xml:space="preserve">   Q-SYS Dante 16x16 licence</t>
        </is>
      </c>
      <c r="B25" s="45" t="n">
        <v>1</v>
      </c>
      <c r="C25" s="143" t="n">
        <v>743.84</v>
      </c>
      <c r="D25" s="143">
        <f>B25*C25</f>
        <v>743.84</v>
      </c>
    </row>
    <row r="26">
      <c r="A26" s="18" t="inlineStr">
        <is>
          <t xml:space="preserve">   Graphics card</t>
        </is>
      </c>
      <c r="B26" s="45" t="n">
        <v>1</v>
      </c>
      <c r="C26" s="143" t="n">
        <v>2153.7</v>
      </c>
      <c r="D26" s="143">
        <f>B26*C26</f>
        <v>2153.7</v>
      </c>
    </row>
    <row r="27">
      <c r="A27" s="18" t="inlineStr">
        <is>
          <t xml:space="preserve">   RMB hardware added</t>
        </is>
      </c>
      <c r="B27" s="45" t="n">
        <v>1</v>
      </c>
      <c r="C27" s="143" t="n">
        <v>321.5</v>
      </c>
      <c r="D27" s="143">
        <f>B27*C27</f>
        <v>321.5</v>
      </c>
    </row>
    <row r="28">
      <c r="A28" s="18" t="inlineStr">
        <is>
          <t xml:space="preserve">   Less: removed Panasonic cameras &amp; licences</t>
        </is>
      </c>
      <c r="B28" s="45" t="n">
        <v>1</v>
      </c>
      <c r="C28" s="143" t="n">
        <v>-7281.07</v>
      </c>
      <c r="D28" s="143">
        <f>B28*C28</f>
        <v>-7281.07</v>
      </c>
    </row>
    <row r="29">
      <c r="A29" s="18" t="inlineStr">
        <is>
          <t xml:space="preserve">   Less: removed control processor</t>
        </is>
      </c>
      <c r="B29" s="45" t="n">
        <v>1</v>
      </c>
      <c r="C29" s="143" t="n">
        <v>-3032.23</v>
      </c>
      <c r="D29" s="143">
        <f>B29*C29</f>
        <v>-3032.23</v>
      </c>
    </row>
    <row r="30">
      <c r="A30" s="18" t="inlineStr">
        <is>
          <t xml:space="preserve">   Less: removed camera Crestron decoder</t>
        </is>
      </c>
      <c r="B30" s="45" t="n">
        <v>1</v>
      </c>
      <c r="C30" s="143" t="n">
        <v>-4600.2</v>
      </c>
      <c r="D30" s="143">
        <f>B30*C30</f>
        <v>-4600.2</v>
      </c>
    </row>
    <row r="31">
      <c r="A31" s="9" t="inlineStr">
        <is>
          <t>Hardware subtotal</t>
        </is>
      </c>
      <c r="B31" s="12" t="n"/>
      <c r="C31" s="12" t="n"/>
      <c r="D31" s="165">
        <f>SUM(D6:D30)</f>
        <v>124463.51</v>
      </c>
      <c r="E31" s="12" t="n"/>
    </row>
    <row r="32">
      <c r="A32" s="22" t="inlineStr">
        <is>
          <t>Consumables and delivery</t>
        </is>
      </c>
      <c r="D32" s="81" t="n"/>
      <c r="E32" s="81" t="n"/>
    </row>
    <row r="33">
      <c r="A33" s="18" t="inlineStr">
        <is>
          <t xml:space="preserve">   Cables, fixings and hardware (4 lines: $1,515.30 + $696.24 + $934.08 + $691.60)</t>
        </is>
      </c>
      <c r="D33" s="143" t="n">
        <v>3837.22</v>
      </c>
      <c r="E33" s="81" t="n"/>
    </row>
    <row r="34">
      <c r="A34" s="18" t="inlineStr">
        <is>
          <t xml:space="preserve">   Freight &amp; handling (3 lines: $100.00 + $53.20 + $59.85)</t>
        </is>
      </c>
      <c r="D34" s="143" t="n">
        <v>213.05</v>
      </c>
      <c r="E34" s="81" t="n"/>
    </row>
    <row r="35">
      <c r="A35" s="18" t="inlineStr">
        <is>
          <t xml:space="preserve">   E-waste / waste management (3 lines: $59.85 + $39.90 + $19.95)</t>
        </is>
      </c>
      <c r="D35" s="143" t="n">
        <v>119.7</v>
      </c>
      <c r="E35" s="81" t="n"/>
    </row>
    <row r="36">
      <c r="A36" s="9" t="inlineStr">
        <is>
          <t>Consumables subtotal</t>
        </is>
      </c>
      <c r="B36" s="12" t="n"/>
      <c r="C36" s="12" t="n"/>
      <c r="D36" s="165">
        <f>SUM(D33:D35)</f>
        <v>4169.97</v>
      </c>
      <c r="E36" s="12" t="n"/>
    </row>
    <row r="40">
      <c r="A40" s="13" t="inlineStr">
        <is>
          <t>Materials subtotal (ex GST)</t>
        </is>
      </c>
      <c r="B40" s="16" t="n"/>
      <c r="C40" s="16" t="n"/>
      <c r="D40" s="142">
        <f>D31+D36</f>
        <v>128633.48</v>
      </c>
      <c r="E40" s="16" t="n"/>
    </row>
    <row r="41" ht="36" customHeight="1" s="109">
      <c r="A41" s="18" t="inlineStr">
        <is>
          <t>Less: Complete AV's own line 'Remaining claim balance $4,848.68 to be invoiced'</t>
        </is>
      </c>
      <c r="D41" s="138" t="n">
        <v>-4848.68</v>
      </c>
      <c r="E41" s="115" t="inlineStr">
        <is>
          <t>Their reduction, not allocated to anything. Taken off the part we're paying now - conservative. If you'd rather take it off the held labour, pay $141,496.83 and hold $36,622.43.</t>
        </is>
      </c>
    </row>
    <row r="42">
      <c r="A42" s="22" t="inlineStr">
        <is>
          <t>Materials net (ex GST)</t>
        </is>
      </c>
      <c r="D42" s="166">
        <f>D40+D41</f>
        <v>123784.79999999999</v>
      </c>
    </row>
    <row r="43">
      <c r="A43" s="18" t="inlineStr">
        <is>
          <t>GST 10%</t>
        </is>
      </c>
      <c r="D43" s="143">
        <f>ROUND(D42*0.1,2)</f>
        <v>12378.48</v>
      </c>
    </row>
    <row r="44">
      <c r="A44" s="52" t="inlineStr">
        <is>
          <t>PAYING NOW (incl GST)</t>
        </is>
      </c>
      <c r="B44" s="54" t="n"/>
      <c r="C44" s="54" t="n"/>
      <c r="D44" s="167">
        <f>D42+D43</f>
        <v>136163.28</v>
      </c>
      <c r="E44" s="54" t="n"/>
    </row>
    <row r="46">
      <c r="A46" s="52" t="inlineStr">
        <is>
          <t>Pay on</t>
        </is>
      </c>
      <c r="B46" s="54" t="n"/>
      <c r="C46" s="54" t="n"/>
      <c r="D46" s="168" t="n">
        <v>46295</v>
      </c>
      <c r="E46" s="55" t="n"/>
    </row>
    <row r="48">
      <c r="A48" s="7" t="inlineStr">
        <is>
          <t>LABOUR AND PROGRAMMING - was held, released and PAID Thu 8 Oct</t>
        </is>
      </c>
      <c r="B48" s="114" t="n"/>
      <c r="C48" s="114" t="n"/>
      <c r="D48" s="114" t="n"/>
      <c r="E48" s="114" t="n"/>
    </row>
    <row r="49">
      <c r="A49" s="18" t="inlineStr">
        <is>
          <t xml:space="preserve">   Labour &amp; programming</t>
        </is>
      </c>
      <c r="D49" s="138" t="n">
        <v>23320</v>
      </c>
    </row>
    <row r="50">
      <c r="A50" s="18" t="inlineStr">
        <is>
          <t xml:space="preserve">   Labour</t>
        </is>
      </c>
      <c r="D50" s="138" t="n">
        <v>7196</v>
      </c>
    </row>
    <row r="51">
      <c r="A51" s="18" t="inlineStr">
        <is>
          <t xml:space="preserve">   Labour</t>
        </is>
      </c>
      <c r="D51" s="138" t="n">
        <v>6561.8</v>
      </c>
    </row>
    <row r="52">
      <c r="A52" s="18" t="inlineStr">
        <is>
          <t xml:space="preserve">   Lighting integration programming (coded to equipment in Xero, but it's programming)</t>
        </is>
      </c>
      <c r="D52" s="138" t="n">
        <v>1064</v>
      </c>
    </row>
    <row r="53">
      <c r="A53" s="9" t="inlineStr">
        <is>
          <t>Held (ex GST)</t>
        </is>
      </c>
      <c r="B53" s="12" t="n"/>
      <c r="C53" s="12" t="n"/>
      <c r="D53" s="165">
        <f>SUM(D49:D52)</f>
        <v>38141.8</v>
      </c>
      <c r="E53" s="12" t="n"/>
    </row>
    <row r="54">
      <c r="A54" s="18" t="inlineStr">
        <is>
          <t>GST 10%</t>
        </is>
      </c>
      <c r="D54" s="143">
        <f>ROUND(D53*0.1,2)</f>
        <v>3814.18</v>
      </c>
    </row>
    <row r="55">
      <c r="A55" s="65" t="inlineStr">
        <is>
          <t>HELD (incl GST)</t>
        </is>
      </c>
      <c r="B55" s="67" t="n"/>
      <c r="C55" s="67" t="n"/>
      <c r="D55" s="169">
        <f>D53+D54</f>
        <v>41955.98</v>
      </c>
      <c r="E55" s="67" t="n"/>
    </row>
    <row r="57">
      <c r="A57" s="22" t="inlineStr">
        <is>
          <t>Check</t>
        </is>
      </c>
    </row>
    <row r="58">
      <c r="A58" s="18" t="inlineStr">
        <is>
          <t xml:space="preserve">   Paying now + held</t>
        </is>
      </c>
      <c r="D58" s="143">
        <f>D44+D55</f>
        <v>178119.26</v>
      </c>
    </row>
    <row r="59">
      <c r="A59" s="18" t="inlineStr">
        <is>
          <t xml:space="preserve">   Bill total per Xero</t>
        </is>
      </c>
      <c r="D59" s="138" t="n">
        <v>178119.25</v>
      </c>
    </row>
    <row r="60">
      <c r="A60" s="18" t="inlineStr">
        <is>
          <t xml:space="preserve">   Difference (rounding)</t>
        </is>
      </c>
      <c r="D60" s="143">
        <f>D58-D59</f>
        <v>0.010000000009313226</v>
      </c>
    </row>
    <row r="62" ht="44.1" customHeight="1" s="109">
      <c r="A62" s="115" t="n"/>
    </row>
  </sheetData>
  <mergeCells count="3">
    <mergeCell ref="A2:E2"/>
    <mergeCell ref="A62:E62"/>
    <mergeCell ref="G2:K2"/>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2026-09-29T01:26:18Z</dcterms:created>
  <dcterms:modified xsi:type="dcterms:W3CDTF">2026-10-12T01:17:31Z</dcterms:modified>
  <cp:lastModifiedBy>Danica Nelson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