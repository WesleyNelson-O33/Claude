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Cash Flow" sheetId="1" state="visible" r:id="rId1"/>
    <sheet name="Assumptions" sheetId="2" state="visible" r:id="rId2"/>
    <sheet name="Payroll" sheetId="3" state="visible" r:id="rId3"/>
    <sheet name="Receivables" sheetId="4" state="visible" r:id="rId4"/>
    <sheet name="Payables" sheetId="5" state="visible" r:id="rId5"/>
    <sheet name="Creditors Run" sheetId="6" state="visible" r:id="rId6"/>
    <sheet name="Complete AV" sheetId="7" state="visible" r:id="rId7"/>
  </sheets>
  <definedNames>
    <definedName name="_xlnm._FilterDatabase" localSheetId="3" hidden="1">'Receivables'!$A$4:$K$56</definedName>
    <definedName name="_xlnm._FilterDatabase" localSheetId="4" hidden="1">'Payables'!$A$18:$J$60</definedName>
  </definedNames>
  <calcPr calcId="191029" fullCalcOnLoad="1" iterateDelta="0.0001"/>
</workbook>
</file>

<file path=xl/styles.xml><?xml version="1.0" encoding="utf-8"?>
<styleSheet xmlns="http://schemas.openxmlformats.org/spreadsheetml/2006/main">
  <numFmts count="10">
    <numFmt numFmtId="164" formatCode="\$#,##0;\(\$#,##0\);\-"/>
    <numFmt numFmtId="165" formatCode="0.0"/>
    <numFmt numFmtId="166" formatCode="ddd\ d\ mmm\ yy"/>
    <numFmt numFmtId="167" formatCode="\$#,##0.00;\(\$#,##0.00\);\-"/>
    <numFmt numFmtId="168" formatCode="0.0%"/>
    <numFmt numFmtId="169" formatCode="d\ mmm\ yy"/>
    <numFmt numFmtId="170" formatCode="_-* #,##0.00_-;\-* #,##0.00_-;_-* &quot;-&quot;??_-;_-@_-"/>
    <numFmt numFmtId="171" formatCode="_-[$$-C09]* #,##0.00_-;\-[$$-C09]* #,##0.00_-;_-[$$-C09]* &quot;-&quot;??_-;_-@_-"/>
    <numFmt numFmtId="172" formatCode="d mmm yy"/>
    <numFmt numFmtId="173" formatCode="yyyy-mm-dd h:mm:ss"/>
  </numFmts>
  <fonts count="23">
    <font>
      <name val="Calibri"/>
      <family val="2"/>
      <color theme="1"/>
      <sz val="11"/>
      <scheme val="minor"/>
    </font>
    <font>
      <name val="Arial"/>
      <family val="2"/>
      <b val="1"/>
      <sz val="14"/>
    </font>
    <font>
      <name val="Arial"/>
      <family val="2"/>
      <i val="1"/>
      <color rgb="FF666666"/>
      <sz val="9"/>
    </font>
    <font>
      <name val="Arial"/>
      <family val="2"/>
      <b val="1"/>
      <color rgb="FFFFFFFF"/>
      <sz val="10"/>
    </font>
    <font>
      <name val="Arial"/>
      <family val="2"/>
      <sz val="10"/>
    </font>
    <font>
      <name val="Arial"/>
      <family val="2"/>
      <color rgb="FF0000FF"/>
      <sz val="10"/>
    </font>
    <font>
      <name val="Arial"/>
      <family val="2"/>
      <b val="1"/>
      <sz val="10"/>
    </font>
    <font>
      <name val="Arial"/>
      <family val="2"/>
      <color rgb="FF008000"/>
      <sz val="10"/>
    </font>
    <font>
      <name val="Arial"/>
      <family val="2"/>
      <b val="1"/>
      <sz val="11"/>
    </font>
    <font>
      <name val="Arial"/>
      <family val="2"/>
      <b val="1"/>
      <color rgb="FF008000"/>
      <sz val="10"/>
    </font>
    <font>
      <name val="Arial"/>
      <family val="2"/>
      <color rgb="FFFFFFFF"/>
      <sz val="10"/>
    </font>
    <font>
      <name val="Arial"/>
      <family val="2"/>
      <color rgb="FF666666"/>
      <sz val="9"/>
    </font>
    <font>
      <name val="Calibri"/>
      <family val="2"/>
      <sz val="11"/>
      <scheme val="minor"/>
    </font>
    <font>
      <name val="Calibri"/>
      <family val="2"/>
      <color theme="1"/>
      <sz val="11"/>
      <scheme val="minor"/>
    </font>
    <font>
      <name val="Calibri"/>
      <family val="2"/>
      <b val="1"/>
      <color theme="1"/>
      <sz val="11"/>
      <scheme val="minor"/>
    </font>
    <font>
      <name val="Calibri"/>
      <family val="2"/>
      <color theme="0"/>
      <sz val="11"/>
      <scheme val="minor"/>
    </font>
    <font>
      <name val="Arial"/>
      <i val="1"/>
      <color rgb="FF666666"/>
      <sz val="9"/>
    </font>
    <font>
      <name val="Arial"/>
      <b val="1"/>
      <color rgb="FFFFFFFF"/>
      <sz val="10"/>
    </font>
    <font>
      <name val="Arial"/>
      <sz val="10"/>
    </font>
    <font>
      <name val="Arial"/>
      <b val="1"/>
      <sz val="10"/>
    </font>
    <font>
      <name val="Arial"/>
      <family val="2"/>
      <b val="1"/>
      <color theme="0"/>
      <sz val="10"/>
    </font>
    <font>
      <name val="Arial"/>
      <color rgb="FF0000FF"/>
      <sz val="10"/>
    </font>
    <font>
      <i val="1"/>
      <sz val="9"/>
    </font>
  </fonts>
  <fills count="16">
    <fill>
      <patternFill/>
    </fill>
    <fill>
      <patternFill patternType="gray125"/>
    </fill>
    <fill>
      <patternFill patternType="solid">
        <fgColor rgb="FF002060"/>
      </patternFill>
    </fill>
    <fill>
      <patternFill patternType="solid">
        <fgColor rgb="FFFFFF00"/>
      </patternFill>
    </fill>
    <fill>
      <patternFill patternType="solid">
        <fgColor rgb="FFF2F2F2"/>
      </patternFill>
    </fill>
    <fill>
      <patternFill patternType="solid">
        <fgColor rgb="FFD9D9D9"/>
      </patternFill>
    </fill>
    <fill>
      <patternFill patternType="solid">
        <fgColor rgb="FFC6EFCE"/>
      </patternFill>
    </fill>
    <fill>
      <patternFill patternType="solid">
        <fgColor rgb="FFFFEB9C"/>
      </patternFill>
    </fill>
    <fill>
      <patternFill patternType="solid">
        <fgColor rgb="FFFFF2CC"/>
      </patternFill>
    </fill>
    <fill>
      <patternFill patternType="solid">
        <fgColor rgb="FFBFBFBF"/>
      </patternFill>
    </fill>
    <fill>
      <patternFill patternType="solid">
        <fgColor theme="6" tint="0.7999816888943144"/>
        <bgColor indexed="64"/>
      </patternFill>
    </fill>
    <fill>
      <patternFill patternType="solid">
        <fgColor theme="0"/>
        <bgColor indexed="64"/>
      </patternFill>
    </fill>
    <fill>
      <patternFill patternType="solid">
        <fgColor theme="0" tint="-0.499984740745262"/>
        <bgColor indexed="64"/>
      </patternFill>
    </fill>
    <fill>
      <patternFill patternType="solid">
        <fgColor theme="2" tint="-0.09997863704336681"/>
        <bgColor indexed="64"/>
      </patternFill>
    </fill>
    <fill>
      <patternFill patternType="solid">
        <fgColor rgb="FFFFFF00"/>
        <bgColor indexed="64"/>
      </patternFill>
    </fill>
    <fill>
      <patternFill patternType="solid">
        <fgColor rgb="FFEDEDED"/>
      </patternFill>
    </fill>
  </fills>
  <borders count="3">
    <border>
      <left/>
      <right/>
      <top/>
      <bottom/>
      <diagonal/>
    </border>
    <border>
      <left/>
      <right/>
      <top style="thin">
        <color rgb="FF7F7F7F"/>
      </top>
      <bottom/>
      <diagonal/>
    </border>
    <border>
      <left/>
      <right/>
      <top style="thin">
        <color rgb="FF7F7F7F"/>
      </top>
      <bottom style="double">
        <color rgb="FF7F7F7F"/>
      </bottom>
      <diagonal/>
    </border>
  </borders>
  <cellStyleXfs count="2">
    <xf numFmtId="0" fontId="13" fillId="0" borderId="0"/>
    <xf numFmtId="43" fontId="13" fillId="0" borderId="0"/>
  </cellStyleXfs>
  <cellXfs count="195">
    <xf numFmtId="0" fontId="0" fillId="0" borderId="0" pivotButton="0" quotePrefix="0" xfId="0"/>
    <xf numFmtId="0" fontId="1" fillId="0" borderId="0" pivotButton="0" quotePrefix="0" xfId="0"/>
    <xf numFmtId="0" fontId="8" fillId="0" borderId="0" pivotButton="0" quotePrefix="0" xfId="0"/>
    <xf numFmtId="0" fontId="2" fillId="0" borderId="0" applyAlignment="1" pivotButton="0" quotePrefix="0" xfId="0">
      <alignment vertical="top" wrapText="1"/>
    </xf>
    <xf numFmtId="0" fontId="4" fillId="2" borderId="0" pivotButton="0" quotePrefix="0" xfId="0"/>
    <xf numFmtId="0" fontId="3" fillId="2" borderId="0" applyAlignment="1" pivotButton="0" quotePrefix="0" xfId="0">
      <alignment horizontal="center" vertical="center"/>
    </xf>
    <xf numFmtId="0" fontId="3" fillId="2" borderId="0" applyAlignment="1" pivotButton="0" quotePrefix="0" xfId="0">
      <alignment horizontal="center" vertical="center" wrapText="1"/>
    </xf>
    <xf numFmtId="0" fontId="3" fillId="2" borderId="0" pivotButton="0" quotePrefix="0" xfId="0"/>
    <xf numFmtId="0" fontId="10" fillId="2" borderId="0" applyAlignment="1" pivotButton="0" quotePrefix="0" xfId="0">
      <alignment horizontal="center" vertical="center"/>
    </xf>
    <xf numFmtId="0" fontId="6" fillId="4" borderId="0" pivotButton="0" quotePrefix="0" xfId="0"/>
    <xf numFmtId="0" fontId="4" fillId="4" borderId="0" pivotButton="0" quotePrefix="0" xfId="0"/>
    <xf numFmtId="1" fontId="5" fillId="8" borderId="0" applyAlignment="1" pivotButton="0" quotePrefix="0" xfId="0">
      <alignment horizontal="center" vertical="center"/>
    </xf>
    <xf numFmtId="0" fontId="0" fillId="4" borderId="0" pivotButton="0" quotePrefix="0" xfId="0"/>
    <xf numFmtId="0" fontId="6" fillId="5" borderId="0" pivotButton="0" quotePrefix="0" xfId="0"/>
    <xf numFmtId="164" fontId="9" fillId="5" borderId="0" pivotButton="0" quotePrefix="0" xfId="0"/>
    <xf numFmtId="164" fontId="6" fillId="5" borderId="0" pivotButton="0" quotePrefix="0" xfId="0"/>
    <xf numFmtId="0" fontId="0" fillId="5" borderId="0" pivotButton="0" quotePrefix="0" xfId="0"/>
    <xf numFmtId="0" fontId="0" fillId="2" borderId="0" pivotButton="0" quotePrefix="0" xfId="0"/>
    <xf numFmtId="0" fontId="4" fillId="0" borderId="0" pivotButton="0" quotePrefix="0" xfId="0"/>
    <xf numFmtId="164" fontId="4" fillId="0" borderId="0" pivotButton="0" quotePrefix="0" xfId="0"/>
    <xf numFmtId="164" fontId="5" fillId="8" borderId="0" pivotButton="0" quotePrefix="0" xfId="0"/>
    <xf numFmtId="164" fontId="6" fillId="5" borderId="1" pivotButton="0" quotePrefix="0" xfId="0"/>
    <xf numFmtId="0" fontId="6" fillId="0" borderId="0" pivotButton="0" quotePrefix="0" xfId="0"/>
    <xf numFmtId="164" fontId="6" fillId="4" borderId="1" pivotButton="0" quotePrefix="0" xfId="0"/>
    <xf numFmtId="0" fontId="6" fillId="9" borderId="0" pivotButton="0" quotePrefix="0" xfId="0"/>
    <xf numFmtId="164" fontId="6" fillId="9" borderId="2" pivotButton="0" quotePrefix="0" xfId="0"/>
    <xf numFmtId="0" fontId="0" fillId="9" borderId="0" pivotButton="0" quotePrefix="0" xfId="0"/>
    <xf numFmtId="164" fontId="6" fillId="4" borderId="0" pivotButton="0" quotePrefix="0" xfId="0"/>
    <xf numFmtId="165" fontId="4" fillId="0" borderId="0" pivotButton="0" quotePrefix="0" xfId="0"/>
    <xf numFmtId="0" fontId="2" fillId="0" borderId="0" pivotButton="0" quotePrefix="0" xfId="0"/>
    <xf numFmtId="0" fontId="4" fillId="0" borderId="0" applyAlignment="1" pivotButton="0" quotePrefix="0" xfId="0">
      <alignment vertical="top" wrapText="1"/>
    </xf>
    <xf numFmtId="166" fontId="5" fillId="0" borderId="0" pivotButton="0" quotePrefix="0" xfId="0"/>
    <xf numFmtId="167" fontId="4" fillId="0" borderId="0" pivotButton="0" quotePrefix="0" xfId="0"/>
    <xf numFmtId="0" fontId="5" fillId="0" borderId="0" pivotButton="0" quotePrefix="0" xfId="0"/>
    <xf numFmtId="164" fontId="5" fillId="0" borderId="0" pivotButton="0" quotePrefix="0" xfId="0"/>
    <xf numFmtId="168" fontId="5" fillId="3" borderId="0" pivotButton="0" quotePrefix="0" xfId="0"/>
    <xf numFmtId="168" fontId="4" fillId="0" borderId="0" pivotButton="0" quotePrefix="0" xfId="0"/>
    <xf numFmtId="164" fontId="5" fillId="3" borderId="0" pivotButton="0" quotePrefix="0" xfId="0"/>
    <xf numFmtId="0" fontId="5" fillId="3" borderId="0" pivotButton="0" quotePrefix="0" xfId="0"/>
    <xf numFmtId="166" fontId="4" fillId="0" borderId="0" pivotButton="0" quotePrefix="0" xfId="0"/>
    <xf numFmtId="0" fontId="3" fillId="2" borderId="0" applyAlignment="1" pivotButton="0" quotePrefix="0" xfId="0">
      <alignment vertical="top" wrapText="1"/>
    </xf>
    <xf numFmtId="166" fontId="7" fillId="0" borderId="0" pivotButton="0" quotePrefix="0" xfId="0"/>
    <xf numFmtId="164" fontId="7" fillId="0" borderId="0" pivotButton="0" quotePrefix="0" xfId="0"/>
    <xf numFmtId="169" fontId="5" fillId="0" borderId="0" pivotButton="0" quotePrefix="0" xfId="0"/>
    <xf numFmtId="167" fontId="5" fillId="0" borderId="0" pivotButton="0" quotePrefix="0" xfId="0"/>
    <xf numFmtId="1" fontId="4" fillId="0" borderId="0" pivotButton="0" quotePrefix="0" xfId="0"/>
    <xf numFmtId="169" fontId="5" fillId="3" borderId="0" pivotButton="0" quotePrefix="0" xfId="0"/>
    <xf numFmtId="167" fontId="6" fillId="5" borderId="0" pivotButton="0" quotePrefix="0" xfId="0"/>
    <xf numFmtId="0" fontId="7" fillId="6" borderId="0" pivotButton="0" quotePrefix="0" xfId="0"/>
    <xf numFmtId="0" fontId="7" fillId="6" borderId="0" applyAlignment="1" pivotButton="0" quotePrefix="0" xfId="0">
      <alignment vertical="top" wrapText="1"/>
    </xf>
    <xf numFmtId="169" fontId="7" fillId="6" borderId="0" pivotButton="0" quotePrefix="0" xfId="0"/>
    <xf numFmtId="167" fontId="7" fillId="6" borderId="0" pivotButton="0" quotePrefix="0" xfId="0"/>
    <xf numFmtId="0" fontId="6" fillId="6" borderId="0" pivotButton="0" quotePrefix="0" xfId="0"/>
    <xf numFmtId="166" fontId="9" fillId="6" borderId="0" pivotButton="0" quotePrefix="0" xfId="0"/>
    <xf numFmtId="0" fontId="0" fillId="6" borderId="0" pivotButton="0" quotePrefix="0" xfId="0"/>
    <xf numFmtId="0" fontId="2" fillId="6" borderId="0" applyAlignment="1" pivotButton="0" quotePrefix="0" xfId="0">
      <alignment vertical="top" wrapText="1"/>
    </xf>
    <xf numFmtId="0" fontId="7" fillId="0" borderId="0" pivotButton="0" quotePrefix="0" xfId="0"/>
    <xf numFmtId="0" fontId="7" fillId="0" borderId="0" applyAlignment="1" pivotButton="0" quotePrefix="0" xfId="0">
      <alignment vertical="top" wrapText="1"/>
    </xf>
    <xf numFmtId="169" fontId="7" fillId="0" borderId="0" pivotButton="0" quotePrefix="0" xfId="0"/>
    <xf numFmtId="167" fontId="7" fillId="0" borderId="0" pivotButton="0" quotePrefix="0" xfId="0"/>
    <xf numFmtId="166" fontId="9" fillId="0" borderId="0" pivotButton="0" quotePrefix="0" xfId="0"/>
    <xf numFmtId="0" fontId="7" fillId="7" borderId="0" pivotButton="0" quotePrefix="0" xfId="0"/>
    <xf numFmtId="0" fontId="7" fillId="7" borderId="0" applyAlignment="1" pivotButton="0" quotePrefix="0" xfId="0">
      <alignment vertical="top" wrapText="1"/>
    </xf>
    <xf numFmtId="169" fontId="7" fillId="7" borderId="0" pivotButton="0" quotePrefix="0" xfId="0"/>
    <xf numFmtId="167" fontId="7" fillId="7" borderId="0" pivotButton="0" quotePrefix="0" xfId="0"/>
    <xf numFmtId="0" fontId="6" fillId="7" borderId="0" pivotButton="0" quotePrefix="0" xfId="0"/>
    <xf numFmtId="166" fontId="9" fillId="7" borderId="0" pivotButton="0" quotePrefix="0" xfId="0"/>
    <xf numFmtId="0" fontId="0" fillId="7" borderId="0" pivotButton="0" quotePrefix="0" xfId="0"/>
    <xf numFmtId="0" fontId="2" fillId="7" borderId="0" applyAlignment="1" pivotButton="0" quotePrefix="0" xfId="0">
      <alignment vertical="top" wrapText="1"/>
    </xf>
    <xf numFmtId="169" fontId="7" fillId="3" borderId="0" pivotButton="0" quotePrefix="0" xfId="0"/>
    <xf numFmtId="167" fontId="6" fillId="4" borderId="0" pivotButton="0" quotePrefix="0" xfId="0"/>
    <xf numFmtId="167" fontId="6" fillId="0" borderId="0" pivotButton="0" quotePrefix="0" xfId="0"/>
    <xf numFmtId="167" fontId="6" fillId="6" borderId="0" pivotButton="0" quotePrefix="0" xfId="0"/>
    <xf numFmtId="166" fontId="5" fillId="6" borderId="0" pivotButton="0" quotePrefix="0" xfId="0"/>
    <xf numFmtId="167" fontId="6" fillId="7" borderId="0" pivotButton="0" quotePrefix="0" xfId="0"/>
    <xf numFmtId="0" fontId="11" fillId="0" borderId="0" applyAlignment="1" pivotButton="0" quotePrefix="0" xfId="0">
      <alignment vertical="top" wrapText="1"/>
    </xf>
    <xf numFmtId="0" fontId="11" fillId="4" borderId="0" applyAlignment="1" pivotButton="0" quotePrefix="0" xfId="0">
      <alignment vertical="top" wrapText="1"/>
    </xf>
    <xf numFmtId="0" fontId="11" fillId="5" borderId="0" applyAlignment="1" pivotButton="0" quotePrefix="0" xfId="0">
      <alignment vertical="top" wrapText="1"/>
    </xf>
    <xf numFmtId="0" fontId="11" fillId="9" borderId="0" applyAlignment="1" pivotButton="0" quotePrefix="0" xfId="0">
      <alignment vertical="top" wrapText="1"/>
    </xf>
    <xf numFmtId="0" fontId="11" fillId="4" borderId="0" pivotButton="0" quotePrefix="0" xfId="0"/>
    <xf numFmtId="0" fontId="11" fillId="0" borderId="0" pivotButton="0" quotePrefix="0" xfId="0"/>
    <xf numFmtId="0" fontId="12" fillId="0" borderId="0" pivotButton="0" quotePrefix="0" xfId="0"/>
    <xf numFmtId="0" fontId="17" fillId="2" borderId="0" pivotButton="0" quotePrefix="0" xfId="0"/>
    <xf numFmtId="170" fontId="0" fillId="0" borderId="0" pivotButton="0" quotePrefix="0" xfId="1"/>
    <xf numFmtId="0" fontId="0" fillId="0" borderId="0" applyAlignment="1" pivotButton="0" quotePrefix="0" xfId="0">
      <alignment wrapText="1"/>
    </xf>
    <xf numFmtId="170" fontId="0" fillId="11" borderId="0" pivotButton="0" quotePrefix="0" xfId="1"/>
    <xf numFmtId="170" fontId="14" fillId="10" borderId="0" pivotButton="0" quotePrefix="0" xfId="1"/>
    <xf numFmtId="0" fontId="18" fillId="0" borderId="0" pivotButton="0" quotePrefix="0" xfId="0"/>
    <xf numFmtId="167" fontId="18" fillId="0" borderId="0" pivotButton="0" quotePrefix="0" xfId="0"/>
    <xf numFmtId="0" fontId="19" fillId="6" borderId="0" pivotButton="0" quotePrefix="0" xfId="0"/>
    <xf numFmtId="167" fontId="19" fillId="6" borderId="0" pivotButton="0" quotePrefix="0" xfId="0"/>
    <xf numFmtId="0" fontId="19" fillId="11" borderId="0" pivotButton="0" quotePrefix="0" xfId="0"/>
    <xf numFmtId="0" fontId="0" fillId="11" borderId="0" pivotButton="0" quotePrefix="0" xfId="0"/>
    <xf numFmtId="167" fontId="19" fillId="11" borderId="0" pivotButton="0" quotePrefix="0" xfId="0"/>
    <xf numFmtId="0" fontId="15" fillId="12" borderId="0" pivotButton="0" quotePrefix="0" xfId="0"/>
    <xf numFmtId="171" fontId="18" fillId="0" borderId="0" pivotButton="0" quotePrefix="0" xfId="0"/>
    <xf numFmtId="167" fontId="20" fillId="12" borderId="0" pivotButton="0" quotePrefix="0" xfId="0"/>
    <xf numFmtId="170" fontId="14" fillId="11" borderId="0" pivotButton="0" quotePrefix="0" xfId="1"/>
    <xf numFmtId="0" fontId="4" fillId="13" borderId="0" pivotButton="0" quotePrefix="0" xfId="0"/>
    <xf numFmtId="169" fontId="5" fillId="13" borderId="0" pivotButton="0" quotePrefix="0" xfId="0"/>
    <xf numFmtId="167" fontId="5" fillId="13" borderId="0" pivotButton="0" quotePrefix="0" xfId="0"/>
    <xf numFmtId="0" fontId="5" fillId="13" borderId="0" pivotButton="0" quotePrefix="0" xfId="0"/>
    <xf numFmtId="1" fontId="4" fillId="13" borderId="0" pivotButton="0" quotePrefix="0" xfId="0"/>
    <xf numFmtId="0" fontId="2" fillId="13" borderId="0" applyAlignment="1" pivotButton="0" quotePrefix="0" xfId="0">
      <alignment vertical="top" wrapText="1"/>
    </xf>
    <xf numFmtId="164" fontId="18" fillId="0" borderId="0" pivotButton="0" quotePrefix="0" xfId="0"/>
    <xf numFmtId="167" fontId="4" fillId="14" borderId="0" pivotButton="0" quotePrefix="0" xfId="0"/>
    <xf numFmtId="170" fontId="0" fillId="0" borderId="0" pivotButton="0" quotePrefix="0" xfId="0"/>
    <xf numFmtId="170" fontId="12" fillId="0" borderId="0" pivotButton="0" quotePrefix="0" xfId="1"/>
    <xf numFmtId="0" fontId="11" fillId="0" borderId="0" applyAlignment="1" pivotButton="0" quotePrefix="0" xfId="0">
      <alignment vertical="top" wrapText="1"/>
    </xf>
    <xf numFmtId="0" fontId="0" fillId="0" borderId="0" pivotButton="0" quotePrefix="0" xfId="0"/>
    <xf numFmtId="0" fontId="4" fillId="0" borderId="0" applyAlignment="1" pivotButton="0" quotePrefix="0" xfId="0">
      <alignment vertical="top" wrapText="1"/>
    </xf>
    <xf numFmtId="0" fontId="10" fillId="2" borderId="0" applyAlignment="1" pivotButton="0" quotePrefix="0" xfId="0">
      <alignment horizontal="center" vertical="center"/>
    </xf>
    <xf numFmtId="0" fontId="3" fillId="2" borderId="0" applyAlignment="1" pivotButton="0" quotePrefix="0" xfId="0">
      <alignment horizontal="center" vertical="center"/>
    </xf>
    <xf numFmtId="0" fontId="3" fillId="2" borderId="0" applyAlignment="1" pivotButton="0" quotePrefix="0" xfId="0">
      <alignment vertical="top" wrapText="1"/>
    </xf>
    <xf numFmtId="0" fontId="0" fillId="2" borderId="0" pivotButton="0" quotePrefix="0" xfId="0"/>
    <xf numFmtId="0" fontId="2" fillId="0" borderId="0" applyAlignment="1" pivotButton="0" quotePrefix="0" xfId="0">
      <alignment vertical="top" wrapText="1"/>
    </xf>
    <xf numFmtId="0" fontId="16" fillId="0" borderId="0" applyAlignment="1" pivotButton="0" quotePrefix="0" xfId="0">
      <alignment vertical="top" wrapText="1"/>
    </xf>
    <xf numFmtId="0" fontId="4" fillId="0" borderId="0" applyAlignment="1" pivotButton="0" quotePrefix="0" xfId="0">
      <alignment horizontal="left" indent="1"/>
    </xf>
    <xf numFmtId="164" fontId="9" fillId="5" borderId="0" pivotButton="0" quotePrefix="0" xfId="0"/>
    <xf numFmtId="164" fontId="6" fillId="5" borderId="0" pivotButton="0" quotePrefix="0" xfId="0"/>
    <xf numFmtId="164" fontId="4" fillId="0" borderId="0" pivotButton="0" quotePrefix="0" xfId="0"/>
    <xf numFmtId="164" fontId="5" fillId="8" borderId="0" pivotButton="0" quotePrefix="0" xfId="0"/>
    <xf numFmtId="164" fontId="6" fillId="5" borderId="1" pivotButton="0" quotePrefix="0" xfId="0"/>
    <xf numFmtId="164" fontId="6" fillId="4" borderId="1" pivotButton="0" quotePrefix="0" xfId="0"/>
    <xf numFmtId="164" fontId="18" fillId="0" borderId="0" pivotButton="0" quotePrefix="0" xfId="0"/>
    <xf numFmtId="164" fontId="6" fillId="9" borderId="2" pivotButton="0" quotePrefix="0" xfId="0"/>
    <xf numFmtId="164" fontId="6" fillId="4" borderId="0" pivotButton="0" quotePrefix="0" xfId="0"/>
    <xf numFmtId="165" fontId="4" fillId="0" borderId="0" pivotButton="0" quotePrefix="0" xfId="0"/>
    <xf numFmtId="166" fontId="5" fillId="0" borderId="0" pivotButton="0" quotePrefix="0" xfId="0"/>
    <xf numFmtId="167" fontId="4" fillId="14" borderId="0" pivotButton="0" quotePrefix="0" xfId="0"/>
    <xf numFmtId="164" fontId="5" fillId="0" borderId="0" pivotButton="0" quotePrefix="0" xfId="0"/>
    <xf numFmtId="168" fontId="5" fillId="3" borderId="0" pivotButton="0" quotePrefix="0" xfId="0"/>
    <xf numFmtId="168" fontId="4" fillId="0" borderId="0" pivotButton="0" quotePrefix="0" xfId="0"/>
    <xf numFmtId="164" fontId="5" fillId="3" borderId="0" pivotButton="0" quotePrefix="0" xfId="0"/>
    <xf numFmtId="166" fontId="4" fillId="0" borderId="0" pivotButton="0" quotePrefix="0" xfId="0"/>
    <xf numFmtId="166" fontId="7" fillId="0" borderId="0" pivotButton="0" quotePrefix="0" xfId="0"/>
    <xf numFmtId="164" fontId="7" fillId="0" borderId="0" pivotButton="0" quotePrefix="0" xfId="0"/>
    <xf numFmtId="169" fontId="5" fillId="0" borderId="0" pivotButton="0" quotePrefix="0" xfId="0"/>
    <xf numFmtId="167" fontId="5" fillId="0" borderId="0" pivotButton="0" quotePrefix="0" xfId="0"/>
    <xf numFmtId="169" fontId="5" fillId="13" borderId="0" pivotButton="0" quotePrefix="0" xfId="0"/>
    <xf numFmtId="167" fontId="5" fillId="13" borderId="0" pivotButton="0" quotePrefix="0" xfId="0"/>
    <xf numFmtId="169" fontId="5" fillId="3" borderId="0" pivotButton="0" quotePrefix="0" xfId="0"/>
    <xf numFmtId="167" fontId="6" fillId="5" borderId="0" pivotButton="0" quotePrefix="0" xfId="0"/>
    <xf numFmtId="167" fontId="4" fillId="0" borderId="0" pivotButton="0" quotePrefix="0" xfId="0"/>
    <xf numFmtId="169" fontId="7" fillId="6" borderId="0" pivotButton="0" quotePrefix="0" xfId="0"/>
    <xf numFmtId="167" fontId="7" fillId="6" borderId="0" pivotButton="0" quotePrefix="0" xfId="0"/>
    <xf numFmtId="166" fontId="9" fillId="6" borderId="0" pivotButton="0" quotePrefix="0" xfId="0"/>
    <xf numFmtId="169" fontId="7" fillId="0" borderId="0" pivotButton="0" quotePrefix="0" xfId="0"/>
    <xf numFmtId="167" fontId="7" fillId="0" borderId="0" pivotButton="0" quotePrefix="0" xfId="0"/>
    <xf numFmtId="166" fontId="9" fillId="0" borderId="0" pivotButton="0" quotePrefix="0" xfId="0"/>
    <xf numFmtId="169" fontId="7" fillId="7" borderId="0" pivotButton="0" quotePrefix="0" xfId="0"/>
    <xf numFmtId="167" fontId="7" fillId="7" borderId="0" pivotButton="0" quotePrefix="0" xfId="0"/>
    <xf numFmtId="166" fontId="9" fillId="7" borderId="0" pivotButton="0" quotePrefix="0" xfId="0"/>
    <xf numFmtId="169" fontId="7" fillId="3" borderId="0" pivotButton="0" quotePrefix="0" xfId="0"/>
    <xf numFmtId="170" fontId="0" fillId="0" borderId="0" pivotButton="0" quotePrefix="0" xfId="1"/>
    <xf numFmtId="170" fontId="12" fillId="0" borderId="0" pivotButton="0" quotePrefix="0" xfId="1"/>
    <xf numFmtId="170" fontId="14" fillId="10" borderId="0" pivotButton="0" quotePrefix="0" xfId="1"/>
    <xf numFmtId="170" fontId="0" fillId="0" borderId="0" pivotButton="0" quotePrefix="0" xfId="0"/>
    <xf numFmtId="170" fontId="0" fillId="11" borderId="0" pivotButton="0" quotePrefix="0" xfId="1"/>
    <xf numFmtId="170" fontId="14" fillId="11" borderId="0" pivotButton="0" quotePrefix="0" xfId="1"/>
    <xf numFmtId="167" fontId="18" fillId="0" borderId="0" pivotButton="0" quotePrefix="0" xfId="0"/>
    <xf numFmtId="171" fontId="18" fillId="0" borderId="0" pivotButton="0" quotePrefix="0" xfId="0"/>
    <xf numFmtId="167" fontId="19" fillId="6" borderId="0" pivotButton="0" quotePrefix="0" xfId="0"/>
    <xf numFmtId="167" fontId="19" fillId="11" borderId="0" pivotButton="0" quotePrefix="0" xfId="0"/>
    <xf numFmtId="167" fontId="20" fillId="12" borderId="0" pivotButton="0" quotePrefix="0" xfId="0"/>
    <xf numFmtId="167" fontId="6" fillId="4" borderId="0" pivotButton="0" quotePrefix="0" xfId="0"/>
    <xf numFmtId="167" fontId="6" fillId="0" borderId="0" pivotButton="0" quotePrefix="0" xfId="0"/>
    <xf numFmtId="167" fontId="6" fillId="6" borderId="0" pivotButton="0" quotePrefix="0" xfId="0"/>
    <xf numFmtId="166" fontId="5" fillId="6" borderId="0" pivotButton="0" quotePrefix="0" xfId="0"/>
    <xf numFmtId="167" fontId="6" fillId="7" borderId="0" pivotButton="0" quotePrefix="0" xfId="0"/>
    <xf numFmtId="0" fontId="4" fillId="15" borderId="0" pivotButton="0" quotePrefix="0" xfId="0"/>
    <xf numFmtId="169" fontId="5" fillId="15" borderId="0" pivotButton="0" quotePrefix="0" xfId="0"/>
    <xf numFmtId="167" fontId="5" fillId="15" borderId="0" pivotButton="0" quotePrefix="0" xfId="0"/>
    <xf numFmtId="0" fontId="5" fillId="15" borderId="0" pivotButton="0" quotePrefix="0" xfId="0"/>
    <xf numFmtId="1" fontId="4" fillId="15" borderId="0" pivotButton="0" quotePrefix="0" xfId="0"/>
    <xf numFmtId="0" fontId="2" fillId="15" borderId="0" applyAlignment="1" pivotButton="0" quotePrefix="0" xfId="0">
      <alignment vertical="top" wrapText="1"/>
    </xf>
    <xf numFmtId="0" fontId="7" fillId="15" borderId="0" pivotButton="0" quotePrefix="0" xfId="0"/>
    <xf numFmtId="0" fontId="7" fillId="15" borderId="0" applyAlignment="1" pivotButton="0" quotePrefix="0" xfId="0">
      <alignment vertical="top" wrapText="1"/>
    </xf>
    <xf numFmtId="169" fontId="7" fillId="15" borderId="0" pivotButton="0" quotePrefix="0" xfId="0"/>
    <xf numFmtId="167" fontId="7" fillId="15" borderId="0" pivotButton="0" quotePrefix="0" xfId="0"/>
    <xf numFmtId="0" fontId="6" fillId="15" borderId="0" pivotButton="0" quotePrefix="0" xfId="0"/>
    <xf numFmtId="166" fontId="9" fillId="15" borderId="0" pivotButton="0" quotePrefix="0" xfId="0"/>
    <xf numFmtId="0" fontId="0" fillId="15" borderId="0" pivotButton="0" quotePrefix="0" xfId="0"/>
    <xf numFmtId="0" fontId="4" fillId="15" borderId="0" applyAlignment="1" pivotButton="0" quotePrefix="0" xfId="0">
      <alignment vertical="top" wrapText="1"/>
    </xf>
    <xf numFmtId="0" fontId="0" fillId="0" borderId="0" applyAlignment="1" pivotButton="0" quotePrefix="0" xfId="0">
      <alignment vertical="top" wrapText="1"/>
    </xf>
    <xf numFmtId="172" fontId="21" fillId="0" borderId="0" pivotButton="0" quotePrefix="0" xfId="0"/>
    <xf numFmtId="0" fontId="21" fillId="0" borderId="0" pivotButton="0" quotePrefix="0" xfId="0"/>
    <xf numFmtId="167" fontId="0" fillId="0" borderId="0" pivotButton="0" quotePrefix="0" xfId="0"/>
    <xf numFmtId="167" fontId="21" fillId="0" borderId="0" pivotButton="0" quotePrefix="0" xfId="0"/>
    <xf numFmtId="0" fontId="3" fillId="2" borderId="0" applyAlignment="1" pivotButton="0" quotePrefix="0" xfId="0">
      <alignment vertical="center" wrapText="1"/>
    </xf>
    <xf numFmtId="172" fontId="0" fillId="0" borderId="0" pivotButton="0" quotePrefix="0" xfId="0"/>
    <xf numFmtId="172" fontId="22" fillId="0" borderId="0" pivotButton="0" quotePrefix="0" xfId="0"/>
    <xf numFmtId="172" fontId="21" fillId="0" borderId="0" pivotButton="0" quotePrefix="0" xfId="0"/>
    <xf numFmtId="172" fontId="0" fillId="0" borderId="0" pivotButton="0" quotePrefix="0" xfId="0"/>
    <xf numFmtId="172" fontId="22" fillId="0" borderId="0" pivotButton="0" quotePrefix="0" xfId="0"/>
  </cellXfs>
  <cellStyles count="2">
    <cellStyle name="Normal" xfId="0" builtinId="0"/>
    <cellStyle name="Comma" xfId="1" builtinId="3"/>
  </cellStyles>
  <dxfs count="1">
    <dxf>
      <fill>
        <patternFill patternType="solid">
          <f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O72"/>
  <sheetViews>
    <sheetView showGridLines="0" tabSelected="1" zoomScale="85" zoomScaleNormal="85" workbookViewId="0">
      <pane xSplit="1" ySplit="8" topLeftCell="B9" activePane="bottomRight" state="frozen"/>
      <selection pane="topRight" activeCell="A1" sqref="A1"/>
      <selection pane="bottomLeft" activeCell="A1" sqref="A1"/>
      <selection pane="bottomRight" activeCell="O20" sqref="O20"/>
    </sheetView>
  </sheetViews>
  <sheetFormatPr baseColWidth="8" defaultRowHeight="15"/>
  <cols>
    <col width="46" customWidth="1" style="109" min="1" max="1"/>
    <col width="13" customWidth="1" style="109" min="2" max="14"/>
    <col width="64" customWidth="1" style="109" min="15" max="15"/>
  </cols>
  <sheetData>
    <row r="1" ht="18" customHeight="1" s="109">
      <c r="A1" s="1" t="inlineStr">
        <is>
          <t>Corporate Technology Services Pty Ltd</t>
        </is>
      </c>
    </row>
    <row r="2">
      <c r="A2" s="2" t="inlineStr">
        <is>
          <t>Weekly Cash Flow Forecast vs Actual - 29 October to 2 December 2026</t>
        </is>
      </c>
    </row>
    <row r="3" ht="42" customHeight="1" s="109">
      <c r="A3" s="108" t="inlineStr">
        <is>
          <t>How this works: the Forecast columns are formulas off the Receivables, Payables, Payroll and Assumptions tabs. Each week, put the actual movements in the yellow Actual column, type in the closing bank balance from CommBiz, and set 'Actuals entered' to 1. The next week then starts from the real bank balance and the difference row shows anything that's been missed. The Creditors run row comes off the Creditors Run tab - paste the Xero aged payables detail in there each month.</t>
        </is>
      </c>
    </row>
    <row r="4"/>
    <row r="5">
      <c r="A5" s="4" t="n"/>
      <c r="B5" s="112" t="inlineStr">
        <is>
          <t>Week 1</t>
        </is>
      </c>
      <c r="D5" s="112" t="inlineStr">
        <is>
          <t>Week 2</t>
        </is>
      </c>
      <c r="F5" s="112" t="inlineStr">
        <is>
          <t>Week 3</t>
        </is>
      </c>
      <c r="H5" s="112" t="inlineStr">
        <is>
          <t>Week 4</t>
        </is>
      </c>
      <c r="J5" s="112" t="inlineStr">
        <is>
          <t>Week 5</t>
        </is>
      </c>
      <c r="L5" s="112" t="inlineStr">
        <is>
          <t>Total</t>
        </is>
      </c>
      <c r="N5" s="6" t="inlineStr">
        <is>
          <t>Variance</t>
        </is>
      </c>
      <c r="O5" s="7" t="inlineStr">
        <is>
          <t>Notes</t>
        </is>
      </c>
    </row>
    <row r="6">
      <c r="A6" s="4" t="n"/>
      <c r="B6" s="111" t="str">
        <f>TEXT(Assumptions!$B$44,"d mmm")&amp;" - "&amp;TEXT(Assumptions!$C$44,"d mmm")</f>
        <v>29 Oct - 4 Nov</v>
      </c>
      <c r="D6" s="111" t="str">
        <f>TEXT(Assumptions!$B$45,"d mmm")&amp;" - "&amp;TEXT(Assumptions!$C$45,"d mmm")</f>
        <v>5 Nov - 11 Nov</v>
      </c>
      <c r="F6" s="111" t="str">
        <f>TEXT(Assumptions!$B$46,"d mmm")&amp;" - "&amp;TEXT(Assumptions!$C$46,"d mmm")</f>
        <v>12 Nov - 18 Nov</v>
      </c>
      <c r="H6" s="111" t="str">
        <f>TEXT(Assumptions!$B$47,"d mmm")&amp;" - "&amp;TEXT(Assumptions!$C$47,"d mmm")</f>
        <v>19 Nov - 25 Nov</v>
      </c>
      <c r="J6" s="111" t="str">
        <f>TEXT(Assumptions!$B$48,"d mmm")&amp;" - "&amp;TEXT(Assumptions!$C$48,"d mmm")</f>
        <v>26 Nov - 2 Dec</v>
      </c>
      <c r="L6" s="4" t="n"/>
      <c r="M6" s="4" t="n"/>
      <c r="N6" s="111" t="inlineStr">
        <is>
          <t>(weeks with</t>
        </is>
      </c>
      <c r="O6" s="4" t="n"/>
    </row>
    <row r="7">
      <c r="A7" s="7" t="inlineStr">
        <is>
          <t>$ AUD (GST inclusive)</t>
        </is>
      </c>
      <c r="B7" s="112" t="inlineStr">
        <is>
          <t>Forecast</t>
        </is>
      </c>
      <c r="C7" s="112" t="inlineStr">
        <is>
          <t>Actual</t>
        </is>
      </c>
      <c r="D7" s="112" t="inlineStr">
        <is>
          <t>Forecast</t>
        </is>
      </c>
      <c r="E7" s="112" t="inlineStr">
        <is>
          <t>Actual</t>
        </is>
      </c>
      <c r="F7" s="112" t="inlineStr">
        <is>
          <t>Forecast</t>
        </is>
      </c>
      <c r="G7" s="112" t="inlineStr">
        <is>
          <t>Actual</t>
        </is>
      </c>
      <c r="H7" s="112" t="inlineStr">
        <is>
          <t>Forecast</t>
        </is>
      </c>
      <c r="I7" s="112" t="inlineStr">
        <is>
          <t>Actual</t>
        </is>
      </c>
      <c r="J7" s="112" t="inlineStr">
        <is>
          <t>Forecast</t>
        </is>
      </c>
      <c r="K7" s="112" t="inlineStr">
        <is>
          <t>Actual</t>
        </is>
      </c>
      <c r="L7" s="112" t="inlineStr">
        <is>
          <t>Forecast</t>
        </is>
      </c>
      <c r="M7" s="112" t="inlineStr">
        <is>
          <t>Actual</t>
        </is>
      </c>
      <c r="N7" s="111" t="inlineStr">
        <is>
          <t>actuals)</t>
        </is>
      </c>
      <c r="O7" s="4" t="n"/>
    </row>
    <row r="8">
      <c r="A8" s="9" t="inlineStr">
        <is>
          <t>Actuals entered for this week? (1 = yes)</t>
        </is>
      </c>
      <c r="B8" s="10" t="n"/>
      <c r="C8" s="11" t="n">
        <v>0</v>
      </c>
      <c r="D8" s="10" t="n"/>
      <c r="E8" s="11" t="n">
        <v>0</v>
      </c>
      <c r="F8" s="10" t="n"/>
      <c r="G8" s="11" t="n">
        <v>0</v>
      </c>
      <c r="H8" s="10" t="n"/>
      <c r="I8" s="11" t="n">
        <v>0</v>
      </c>
      <c r="J8" s="10" t="n"/>
      <c r="K8" s="11" t="n">
        <v>0</v>
      </c>
      <c r="L8" s="12" t="n"/>
      <c r="M8" s="12" t="n"/>
      <c r="N8" s="12" t="n"/>
      <c r="O8" s="76" t="inlineStr">
        <is>
          <t>Set to 1 once the week is done and the CommBiz balance is in. Then the next week opens from the real number.</t>
        </is>
      </c>
    </row>
    <row r="9"/>
    <row r="10">
      <c r="A10" s="13" t="inlineStr">
        <is>
          <t>OPENING BANK BALANCE</t>
        </is>
      </c>
      <c r="B10" s="118">
        <f>Assumptions!$B$6</f>
        <v>439930.67999999993</v>
      </c>
      <c r="C10" s="119">
        <f>B10</f>
        <v>439930.67999999993</v>
      </c>
      <c r="D10" s="119">
        <f>IF(C$8=1,C59,B58)</f>
        <v>198149.52999999994</v>
      </c>
      <c r="E10" s="119">
        <f>D10</f>
        <v>198149.52999999994</v>
      </c>
      <c r="F10" s="119">
        <f>IF(E$8=1,E59,D58)</f>
        <v>416895.69999999995</v>
      </c>
      <c r="G10" s="119">
        <f>F10</f>
        <v>416895.69999999995</v>
      </c>
      <c r="H10" s="119">
        <f>IF(G$8=1,G59,F58)</f>
        <v>576615.9066666666</v>
      </c>
      <c r="I10" s="119">
        <f>H10</f>
        <v>576615.9066666666</v>
      </c>
      <c r="J10" s="119">
        <f>IF(I$8=1,I59,H58)</f>
        <v>437719.9044933333</v>
      </c>
      <c r="K10" s="119">
        <f>J10</f>
        <v>437719.9044933333</v>
      </c>
      <c r="L10" s="119">
        <f>B10</f>
        <v>439930.67999999993</v>
      </c>
      <c r="M10" s="119">
        <f>C10</f>
        <v>439930.67999999993</v>
      </c>
      <c r="N10" s="16" t="n"/>
      <c r="O10" s="77" t="n"/>
    </row>
    <row r="11"/>
    <row r="12">
      <c r="A12" s="7" t="inlineStr">
        <is>
          <t>INCOME</t>
        </is>
      </c>
      <c r="B12" s="114" t="n"/>
      <c r="C12" s="114" t="n"/>
      <c r="D12" s="114" t="n"/>
      <c r="E12" s="114" t="n"/>
      <c r="F12" s="114" t="n"/>
      <c r="G12" s="114" t="n"/>
      <c r="H12" s="114" t="n"/>
      <c r="I12" s="114" t="n"/>
      <c r="J12" s="114" t="n"/>
      <c r="K12" s="114" t="n"/>
      <c r="L12" s="114" t="n"/>
      <c r="M12" s="114" t="n"/>
      <c r="N12" s="114" t="n"/>
      <c r="O12" s="114" t="n"/>
    </row>
    <row r="13">
      <c r="A13" s="18" t="inlineStr">
        <is>
          <t xml:space="preserve">   Trading income - customer receipts (invoices)</t>
        </is>
      </c>
      <c r="B13" s="120">
        <f>SUMIFS(Receivables!$F$5:$F$65,Receivables!$H$5:$H$65,"&gt;="&amp;Assumptions!$B$44,Receivables!$H$5:$H$65,"&lt;="&amp;Assumptions!$C$44)</f>
        <v>43966.46</v>
      </c>
      <c r="C13" s="121" t="n"/>
      <c r="D13" s="120">
        <f>SUMIFS(Receivables!$F$5:$F$65,Receivables!$H$5:$H$65,"&gt;="&amp;Assumptions!$B$45,Receivables!$H$5:$H$65,"&lt;="&amp;Assumptions!$C$45)</f>
        <v>273382.65</v>
      </c>
      <c r="E13" s="121" t="n"/>
      <c r="F13" s="120">
        <f>SUMIFS(Receivables!$F$5:$F$65,Receivables!$H$5:$H$65,"&gt;="&amp;Assumptions!$B$46,Receivables!$H$5:$H$65,"&lt;="&amp;Assumptions!$C$46)+Assumptions!$B$39/3</f>
        <v>159720.20666666667</v>
      </c>
      <c r="G13" s="121" t="n"/>
      <c r="H13" s="120">
        <f>SUMIFS(Receivables!$F$5:$F$65,Receivables!$H$5:$H$65,"&gt;="&amp;Assumptions!$B$47,Receivables!$H$5:$H$65,"&lt;="&amp;Assumptions!$C$47)+Assumptions!$B$39/3</f>
        <v>36402.276666666665</v>
      </c>
      <c r="I13" s="121" t="n"/>
      <c r="J13" s="120">
        <f>SUMIFS(Receivables!$F$5:$F$65,Receivables!$H$5:$H$65,"&gt;="&amp;Assumptions!$B$48,Receivables!$H$5:$H$65,"&lt;="&amp;Assumptions!$C$48)+Assumptions!$B$39/3</f>
        <v>197088.51666666663</v>
      </c>
      <c r="K13" s="121" t="n"/>
      <c r="L13" s="120">
        <f>SUM(B13,D13,F13,H13,J13)</f>
        <v>710560.11</v>
      </c>
      <c r="M13" s="120">
        <f>SUM(C13,E13,G13,I13,K13)</f>
        <v>0</v>
      </c>
      <c r="N13" s="120">
        <f>(C13-B13)*C$8+(E13-D13)*E$8+(G13-F13)*G$8+(I13-H13)*I$8+(K13-J13)*K$8</f>
        <v>0</v>
      </c>
      <c r="O13" s="108" t="inlineStr">
        <is>
          <t>Receivables tab. Week 1 is PwC, ICC and ASX on the due date (30 Oct) plus the Bankwest Oct contract. Week 2 is the CBA production kit ($118k) and the Deloitte Oct invoices. Week 5 is the ASX AGM, TLC and April 5.</t>
        </is>
      </c>
    </row>
    <row r="14">
      <c r="A14" s="18" t="inlineStr">
        <is>
          <t xml:space="preserve">   Other income - interest received</t>
        </is>
      </c>
      <c r="B14" s="120">
        <f>Assumptions!$B$40</f>
        <v>600</v>
      </c>
      <c r="C14" s="121" t="n"/>
      <c r="D14" s="120">
        <f>0</f>
        <v>0</v>
      </c>
      <c r="E14" s="121" t="n"/>
      <c r="F14" s="120">
        <f>0</f>
        <v>0</v>
      </c>
      <c r="G14" s="121" t="n"/>
      <c r="H14" s="120">
        <f>0</f>
        <v>0</v>
      </c>
      <c r="I14" s="121" t="n"/>
      <c r="J14" s="120">
        <f>Assumptions!$B$40</f>
        <v>600</v>
      </c>
      <c r="K14" s="121" t="n"/>
      <c r="L14" s="120">
        <f>SUM(B14,D14,F14,H14,J14)</f>
        <v>1200</v>
      </c>
      <c r="M14" s="120">
        <f>SUM(C14,E14,G14,I14,K14)</f>
        <v>0</v>
      </c>
      <c r="N14" s="120">
        <f>(C14-B14)*C$8+(E14-D14)*E$8+(G14-F14)*G$8+(I14-H14)*I$8+(K14-J14)*K$8</f>
        <v>0</v>
      </c>
      <c r="O14" s="108" t="inlineStr">
        <is>
          <t>Savings interest at month end - 30 Oct and 30 Nov.</t>
        </is>
      </c>
    </row>
    <row r="15">
      <c r="A15" s="13" t="inlineStr">
        <is>
          <t>TOTAL INCOME</t>
        </is>
      </c>
      <c r="B15" s="122">
        <f>B13+B14</f>
        <v>44566.46</v>
      </c>
      <c r="C15" s="122">
        <f>C13+C14</f>
        <v>0</v>
      </c>
      <c r="D15" s="122">
        <f>D13+D14</f>
        <v>273382.65</v>
      </c>
      <c r="E15" s="122">
        <f>E13+E14</f>
        <v>0</v>
      </c>
      <c r="F15" s="122">
        <f>F13+F14</f>
        <v>159720.20666666667</v>
      </c>
      <c r="G15" s="122">
        <f>G13+G14</f>
        <v>0</v>
      </c>
      <c r="H15" s="122">
        <f>H13+H14</f>
        <v>36402.276666666665</v>
      </c>
      <c r="I15" s="122">
        <f>I13+I14</f>
        <v>0</v>
      </c>
      <c r="J15" s="122">
        <f>J13+J14</f>
        <v>197688.51666666663</v>
      </c>
      <c r="K15" s="122">
        <f>K13+K14</f>
        <v>0</v>
      </c>
      <c r="L15" s="122">
        <f>L13+L14</f>
        <v>711760.11</v>
      </c>
      <c r="M15" s="122">
        <f>M13+M14</f>
        <v>0</v>
      </c>
      <c r="N15" s="122">
        <f>N13+N14</f>
        <v>0</v>
      </c>
      <c r="O15" s="16" t="n"/>
    </row>
    <row r="16"/>
    <row r="17">
      <c r="A17" s="7" t="inlineStr">
        <is>
          <t>OPERATING EXPENSES</t>
        </is>
      </c>
      <c r="B17" s="114" t="n"/>
      <c r="C17" s="114" t="n"/>
      <c r="D17" s="114" t="n"/>
      <c r="E17" s="114" t="n"/>
      <c r="F17" s="114" t="n"/>
      <c r="G17" s="114" t="n"/>
      <c r="H17" s="114" t="n"/>
      <c r="I17" s="114" t="n"/>
      <c r="J17" s="114" t="n"/>
      <c r="K17" s="114" t="n"/>
      <c r="L17" s="114" t="n"/>
      <c r="M17" s="114" t="n"/>
      <c r="N17" s="114" t="n"/>
      <c r="O17" s="114" t="n"/>
    </row>
    <row r="18">
      <c r="A18" s="22" t="inlineStr">
        <is>
          <t>Employment</t>
        </is>
      </c>
    </row>
    <row r="19" ht="24" customHeight="1" s="109">
      <c r="A19" s="18" t="inlineStr">
        <is>
          <t xml:space="preserve">   Salaries &amp; wages (net pay)</t>
        </is>
      </c>
      <c r="B19" s="120">
        <f>SUMIFS(Payroll!$E$5:$E$7,Payroll!$C$5:$C$7,"&gt;="&amp;Assumptions!$B$44,Payroll!$C$5:$C$7,"&lt;="&amp;Assumptions!$C$44)</f>
        <v>84710</v>
      </c>
      <c r="C19" s="121" t="n"/>
      <c r="D19" s="120">
        <f>SUMIFS(Payroll!$E$5:$E$7,Payroll!$C$5:$C$7,"&gt;="&amp;Assumptions!$B$45,Payroll!$C$5:$C$7,"&lt;="&amp;Assumptions!$C$45)</f>
        <v>0</v>
      </c>
      <c r="E19" s="121" t="n"/>
      <c r="F19" s="120">
        <f>SUMIFS(Payroll!$E$5:$E$7,Payroll!$C$5:$C$7,"&gt;="&amp;Assumptions!$B$46,Payroll!$C$5:$C$7,"&lt;="&amp;Assumptions!$C$46)</f>
        <v>84710</v>
      </c>
      <c r="G19" s="121" t="n"/>
      <c r="H19" s="120">
        <f>SUMIFS(Payroll!$E$5:$E$7,Payroll!$C$5:$C$7,"&gt;="&amp;Assumptions!$B$47,Payroll!$C$5:$C$7,"&lt;="&amp;Assumptions!$C$47)</f>
        <v>0</v>
      </c>
      <c r="I19" s="121" t="n"/>
      <c r="J19" s="120">
        <f>SUMIFS(Payroll!$E$5:$E$7,Payroll!$C$5:$C$7,"&gt;="&amp;Assumptions!$B$48,Payroll!$C$5:$C$7,"&lt;="&amp;Assumptions!$C$48)</f>
        <v>84710</v>
      </c>
      <c r="K19" s="121" t="n"/>
      <c r="L19" s="120">
        <f>SUM(B19,D19,F19,H19,J19)</f>
        <v>254130</v>
      </c>
      <c r="M19" s="120">
        <f>SUM(C19,E19,G19,I19,K19)</f>
        <v>0</v>
      </c>
      <c r="N19" s="120">
        <f>(C19-B19)*C$8+(E19-D19)*E$8+(G19-F19)*G$8+(I19-H19)*I$8+(K19-J19)*K$8</f>
        <v>0</v>
      </c>
      <c r="O19" s="108" t="inlineStr">
        <is>
          <t>Payroll tab - gross x net %. Fortnight is Sat to Fri and the money goes out the Tuesday after: Tue 3 Nov (week 1), Tue 17 Nov (week 3) and Tue 1 Dec (week 5).</t>
        </is>
      </c>
    </row>
    <row r="20">
      <c r="A20" s="18" t="inlineStr">
        <is>
          <t xml:space="preserve">   Superannuation</t>
        </is>
      </c>
      <c r="B20" s="120">
        <f>SUMIFS(Payroll!$G$5:$G$7,Payroll!$C$5:$C$7,"&gt;="&amp;Assumptions!$B$44,Payroll!$C$5:$C$7,"&lt;="&amp;Assumptions!$C$44)</f>
        <v>12900</v>
      </c>
      <c r="C20" s="121" t="n"/>
      <c r="D20" s="120">
        <f>SUMIFS(Payroll!$G$5:$G$7,Payroll!$C$5:$C$7,"&gt;="&amp;Assumptions!$B$45,Payroll!$C$5:$C$7,"&lt;="&amp;Assumptions!$C$45)</f>
        <v>0</v>
      </c>
      <c r="E20" s="121" t="n"/>
      <c r="F20" s="120">
        <f>SUMIFS(Payroll!$G$5:$G$7,Payroll!$C$5:$C$7,"&gt;="&amp;Assumptions!$B$46,Payroll!$C$5:$C$7,"&lt;="&amp;Assumptions!$C$46)</f>
        <v>12900</v>
      </c>
      <c r="G20" s="121" t="n"/>
      <c r="H20" s="120">
        <f>SUMIFS(Payroll!$G$5:$G$7,Payroll!$C$5:$C$7,"&gt;="&amp;Assumptions!$B$47,Payroll!$C$5:$C$7,"&lt;="&amp;Assumptions!$C$47)</f>
        <v>0</v>
      </c>
      <c r="I20" s="121" t="n"/>
      <c r="J20" s="120">
        <f>SUMIFS(Payroll!$G$5:$G$7,Payroll!$C$5:$C$7,"&gt;="&amp;Assumptions!$B$48,Payroll!$C$5:$C$7,"&lt;="&amp;Assumptions!$C$48)</f>
        <v>12900</v>
      </c>
      <c r="K20" s="121" t="n"/>
      <c r="L20" s="120">
        <f>SUM(B20,D20,F20,H20,J20)</f>
        <v>38700</v>
      </c>
      <c r="M20" s="120">
        <f>SUM(C20,E20,G20,I20,K20)</f>
        <v>0</v>
      </c>
      <c r="N20" s="120">
        <f>(C20-B20)*C$8+(E20-D20)*E$8+(G20-F20)*G$8+(I20-H20)*I$8+(K20-J20)*K$8</f>
        <v>0</v>
      </c>
      <c r="O20" s="108" t="inlineStr">
        <is>
          <t>Gross x 12%. Direct debits the day after pay day.</t>
        </is>
      </c>
    </row>
    <row r="21" ht="24" customHeight="1" s="109">
      <c r="A21" s="18" t="inlineStr">
        <is>
          <t xml:space="preserve">   PAYG withholding - monthly IAS</t>
        </is>
      </c>
      <c r="B21" s="120">
        <f>IF(AND(Assumptions!$B$51&gt;=Assumptions!$B$44,Assumptions!$B$51&lt;=Assumptions!$C$44),Assumptions!$B$50,0)</f>
        <v>0</v>
      </c>
      <c r="C21" s="121" t="n"/>
      <c r="D21" s="120">
        <f>IF(AND(Assumptions!$B$51&gt;=Assumptions!$B$45,Assumptions!$B$51&lt;=Assumptions!$C$45),Assumptions!$B$50,0)</f>
        <v>0</v>
      </c>
      <c r="E21" s="121" t="n"/>
      <c r="F21" s="120">
        <f>IF(AND(Assumptions!$B$51&gt;=Assumptions!$B$46,Assumptions!$B$51&lt;=Assumptions!$C$46),Assumptions!$B$50,0)</f>
        <v>0</v>
      </c>
      <c r="G21" s="121" t="n"/>
      <c r="H21" s="120">
        <f>IF(AND(Assumptions!$B$51&gt;=Assumptions!$B$47,Assumptions!$B$51&lt;=Assumptions!$C$47),Assumptions!$B$50,0)</f>
        <v>45145.41484</v>
      </c>
      <c r="I21" s="121" t="n"/>
      <c r="J21" s="120">
        <f>IF(AND(Assumptions!$B$51&gt;=Assumptions!$B$48,Assumptions!$B$51&lt;=Assumptions!$C$48),Assumptions!$B$50,0)</f>
        <v>0</v>
      </c>
      <c r="K21" s="121" t="n"/>
      <c r="L21" s="120">
        <f>SUM(B21,D21,F21,H21,J21)</f>
        <v>45145.41484</v>
      </c>
      <c r="M21" s="120">
        <f>SUM(C21,E21,G21,I21,K21)</f>
        <v>0</v>
      </c>
      <c r="N21" s="120">
        <f>(C21-B21)*C$8+(E21-D21)*E$8+(G21-F21)*G$8+(I21-H21)*I$8+(K21-J21)*K$8</f>
        <v>0</v>
      </c>
      <c r="O21" s="108" t="inlineStr">
        <is>
          <t>Oct PAYG on the monthly IAS, due 21 Nov - paid Fri 20 Nov (week 4). Assumptions B50.</t>
        </is>
      </c>
    </row>
    <row r="22" ht="24" customHeight="1" s="109">
      <c r="A22" s="18" t="inlineStr">
        <is>
          <t xml:space="preserve">   Payroll tax (NSW + other states)</t>
        </is>
      </c>
      <c r="B22" s="120">
        <f>IF(AND(Assumptions!$B$19&gt;=Assumptions!$B$44,Assumptions!$B$19&lt;=Assumptions!$C$44),Assumptions!$B$17+Assumptions!$B$18,0)</f>
        <v>0</v>
      </c>
      <c r="C22" s="121" t="n"/>
      <c r="D22" s="120">
        <f>IF(AND(Assumptions!$B$19&gt;=Assumptions!$B$45,Assumptions!$B$19&lt;=Assumptions!$C$45),Assumptions!$B$17+Assumptions!$B$18,0)</f>
        <v>8602.75</v>
      </c>
      <c r="E22" s="121" t="n"/>
      <c r="F22" s="120">
        <f>IF(AND(Assumptions!$B$19&gt;=Assumptions!$B$46,Assumptions!$B$19&lt;=Assumptions!$C$46),Assumptions!$B$17+Assumptions!$B$18,0)</f>
        <v>0</v>
      </c>
      <c r="G22" s="121" t="n"/>
      <c r="H22" s="120">
        <f>IF(AND(Assumptions!$B$19&gt;=Assumptions!$B$47,Assumptions!$B$19&lt;=Assumptions!$C$47),Assumptions!$B$17+Assumptions!$B$18,0)</f>
        <v>0</v>
      </c>
      <c r="I22" s="121" t="n"/>
      <c r="J22" s="120">
        <f>IF(AND(Assumptions!$B$19&gt;=Assumptions!$B$48,Assumptions!$B$19&lt;=Assumptions!$C$48),Assumptions!$B$17+Assumptions!$B$18,0)</f>
        <v>0</v>
      </c>
      <c r="K22" s="121" t="n"/>
      <c r="L22" s="120">
        <f>SUM(B22,D22,F22,H22,J22)</f>
        <v>8602.75</v>
      </c>
      <c r="M22" s="120">
        <f>SUM(C22,E22,G22,I22,K22)</f>
        <v>0</v>
      </c>
      <c r="N22" s="120">
        <f>(C22-B22)*C$8+(E22-D22)*E$8+(G22-F22)*G$8+(I22-H22)*I$8+(K22-J22)*K$8</f>
        <v>0</v>
      </c>
      <c r="O22" s="108" t="inlineStr">
        <is>
          <t>Oct wages, due 7 Nov - a Saturday, so Fri 6 Nov (week 2). Sep was $8,602.75 all up, same total used.</t>
        </is>
      </c>
    </row>
    <row r="23">
      <c r="A23" s="18" t="inlineStr">
        <is>
          <t xml:space="preserve">   Employee reimbursements (expense claims)</t>
        </is>
      </c>
      <c r="B23" s="120">
        <f>SUMIFS(Payroll!$H$5:$H$7,Payroll!$C$5:$C$7,"&gt;="&amp;Assumptions!$B$44,Payroll!$C$5:$C$7,"&lt;="&amp;Assumptions!$C$44)</f>
        <v>1000</v>
      </c>
      <c r="C23" s="121" t="n"/>
      <c r="D23" s="120">
        <f>SUMIFS(Payroll!$H$5:$H$7,Payroll!$C$5:$C$7,"&gt;="&amp;Assumptions!$B$45,Payroll!$C$5:$C$7,"&lt;="&amp;Assumptions!$C$45)</f>
        <v>0</v>
      </c>
      <c r="E23" s="121" t="n"/>
      <c r="F23" s="120">
        <f>SUMIFS(Payroll!$H$5:$H$7,Payroll!$C$5:$C$7,"&gt;="&amp;Assumptions!$B$46,Payroll!$C$5:$C$7,"&lt;="&amp;Assumptions!$C$46)</f>
        <v>1000</v>
      </c>
      <c r="G23" s="121" t="n"/>
      <c r="H23" s="120">
        <f>SUMIFS(Payroll!$H$5:$H$7,Payroll!$C$5:$C$7,"&gt;="&amp;Assumptions!$B$47,Payroll!$C$5:$C$7,"&lt;="&amp;Assumptions!$C$47)</f>
        <v>0</v>
      </c>
      <c r="I23" s="121" t="n"/>
      <c r="J23" s="120">
        <f>SUMIFS(Payroll!$H$5:$H$7,Payroll!$C$5:$C$7,"&gt;="&amp;Assumptions!$B$48,Payroll!$C$5:$C$7,"&lt;="&amp;Assumptions!$C$48)</f>
        <v>1000</v>
      </c>
      <c r="K23" s="121" t="n"/>
      <c r="L23" s="120">
        <f>SUM(B23,D23,F23,H23,J23)</f>
        <v>3000</v>
      </c>
      <c r="M23" s="120">
        <f>SUM(C23,E23,G23,I23,K23)</f>
        <v>0</v>
      </c>
      <c r="N23" s="120">
        <f>(C23-B23)*C$8+(E23-D23)*E$8+(G23-F23)*G$8+(I23-H23)*I$8+(K23-J23)*K$8</f>
        <v>0</v>
      </c>
      <c r="O23" s="108" t="inlineStr">
        <is>
          <t>Placeholder - goes out with the ABA.</t>
        </is>
      </c>
    </row>
    <row r="24">
      <c r="A24" s="9" t="inlineStr">
        <is>
          <t>Subtotal employment</t>
        </is>
      </c>
      <c r="B24" s="123">
        <f>B19+B20+B21+B22+B23</f>
        <v>98610</v>
      </c>
      <c r="C24" s="123">
        <f>C19+C20+C21+C22+C23</f>
        <v>0</v>
      </c>
      <c r="D24" s="123">
        <f>D19+D20+D21+D22+D23</f>
        <v>8602.75</v>
      </c>
      <c r="E24" s="123">
        <f>E19+E20+E21+E22+E23</f>
        <v>0</v>
      </c>
      <c r="F24" s="123">
        <f>F19+F20+F21+F22+F23</f>
        <v>98610</v>
      </c>
      <c r="G24" s="123">
        <f>G19+G20+G21+G22+G23</f>
        <v>0</v>
      </c>
      <c r="H24" s="123">
        <f>H19+H20+H21+H22+H23</f>
        <v>45145.41484</v>
      </c>
      <c r="I24" s="123">
        <f>I19+I20+I21+I22+I23</f>
        <v>0</v>
      </c>
      <c r="J24" s="123">
        <f>J19+J20+J21+J22+J23</f>
        <v>98610</v>
      </c>
      <c r="K24" s="123">
        <f>K19+K20+K21+K22+K23</f>
        <v>0</v>
      </c>
      <c r="L24" s="123">
        <f>L19+L20+L21+L22+L23</f>
        <v>349578.16484</v>
      </c>
      <c r="M24" s="123">
        <f>M19+M20+M21+M22+M23</f>
        <v>0</v>
      </c>
      <c r="N24" s="123">
        <f>N19+N20+N21+N22+N23</f>
        <v>0</v>
      </c>
      <c r="O24" s="12" t="n"/>
    </row>
    <row r="25"/>
    <row r="26">
      <c r="A26" s="22" t="inlineStr">
        <is>
          <t>Cost of sales (client jobs)</t>
        </is>
      </c>
    </row>
    <row r="27" ht="24" customHeight="1" s="109">
      <c r="A27" s="18" t="inlineStr">
        <is>
          <t xml:space="preserve">   Project equipment &amp; installation</t>
        </is>
      </c>
      <c r="B27" s="124">
        <f>SUMIFS(Payables!$D$19:$D$95,Payables!$K$19:$K$95,"Yes",Payables!$G$19:$G$95,"&gt;="&amp;Assumptions!$B$44,Payables!$G$19:$G$95,"&lt;="&amp;Assumptions!$C$44,Payables!$E$19:$E$95,"&lt;&gt;Card",Payables!$F$19:$F$95,"Equipment purchases")+Assumptions!$B$29/5</f>
        <v>4000</v>
      </c>
      <c r="C27" s="121" t="n"/>
      <c r="D27" s="120">
        <f>SUMIFS(Payables!$D$19:$D$95,Payables!$K$19:$K$95,"Yes",Payables!$G$19:$G$95,"&gt;="&amp;Assumptions!$B$45,Payables!$G$19:$G$95,"&lt;="&amp;Assumptions!$C$45,Payables!$E$19:$E$95,"&lt;&gt;Card",Payables!$F$19:$F$95,"Equipment purchases")+Assumptions!$B$29/5</f>
        <v>4000</v>
      </c>
      <c r="E27" s="121" t="n"/>
      <c r="F27" s="120">
        <f>SUMIFS(Payables!$D$19:$D$95,Payables!$K$19:$K$95,"Yes",Payables!$G$19:$G$95,"&gt;="&amp;Assumptions!$B$46,Payables!$G$19:$G$95,"&lt;="&amp;Assumptions!$C$46,Payables!$E$19:$E$95,"&lt;&gt;Card",Payables!$F$19:$F$95,"Equipment purchases")+Assumptions!$B$29/5</f>
        <v>4000</v>
      </c>
      <c r="G27" s="121" t="n"/>
      <c r="H27" s="120">
        <f>SUMIFS(Payables!$D$19:$D$95,Payables!$K$19:$K$95,"Yes",Payables!$G$19:$G$95,"&gt;="&amp;Assumptions!$B$47,Payables!$G$19:$G$95,"&lt;="&amp;Assumptions!$C$47,Payables!$E$19:$E$95,"&lt;&gt;Card",Payables!$F$19:$F$95,"Equipment purchases")+Assumptions!$B$29/5</f>
        <v>4000</v>
      </c>
      <c r="I27" s="121" t="n"/>
      <c r="J27" s="120">
        <f>SUMIFS(Payables!$D$19:$D$95,Payables!$K$19:$K$95,"Yes",Payables!$G$19:$G$95,"&gt;="&amp;Assumptions!$B$48,Payables!$G$19:$G$95,"&lt;="&amp;Assumptions!$C$48,Payables!$E$19:$E$95,"&lt;&gt;Card",Payables!$F$19:$F$95,"Equipment purchases")+Assumptions!$B$29/5</f>
        <v>4000</v>
      </c>
      <c r="K27" s="121" t="n"/>
      <c r="L27" s="120">
        <f>SUM(B27,D27,F27,H27,J27)</f>
        <v>20000</v>
      </c>
      <c r="M27" s="120">
        <f>SUM(C27,E27,G27,I27,K27)</f>
        <v>0</v>
      </c>
      <c r="N27" s="120">
        <f>(C27-B27)*C$8+(E27-D27)*E$8+(G27-F27)*G$8+(I27-H27)*I$8+(K27-J27)*K$8</f>
        <v>0</v>
      </c>
      <c r="O27" s="108" t="inlineStr">
        <is>
          <t>Contact Group Hobart fitout is in the creditors run. This line is just the unbilled estimate now.</t>
        </is>
      </c>
    </row>
    <row r="28">
      <c r="A28" s="18" t="inlineStr">
        <is>
          <t xml:space="preserve">   Sub-contract labour</t>
        </is>
      </c>
      <c r="B28" s="120">
        <f>Assumptions!$B$27/5</f>
        <v>8000</v>
      </c>
      <c r="C28" s="121" t="n"/>
      <c r="D28" s="120">
        <f>Assumptions!$B$27/5</f>
        <v>8000</v>
      </c>
      <c r="E28" s="121" t="n"/>
      <c r="F28" s="120">
        <f>Assumptions!$B$27/5</f>
        <v>8000</v>
      </c>
      <c r="G28" s="121" t="n"/>
      <c r="H28" s="120">
        <f>Assumptions!$B$27/5</f>
        <v>8000</v>
      </c>
      <c r="I28" s="121" t="n"/>
      <c r="J28" s="120">
        <f>Assumptions!$B$27/5</f>
        <v>8000</v>
      </c>
      <c r="K28" s="121" t="n"/>
      <c r="L28" s="120">
        <f>SUM(B28,D28,F28,H28,J28)</f>
        <v>40000</v>
      </c>
      <c r="M28" s="120">
        <f>SUM(C28,E28,G28,I28,K28)</f>
        <v>0</v>
      </c>
      <c r="N28" s="120">
        <f>(C28-B28)*C$8+(E28-D28)*E$8+(G28-F28)*G$8+(I28-H28)*I$8+(K28-J28)*K$8</f>
        <v>0</v>
      </c>
      <c r="O28" s="108" t="inlineStr">
        <is>
          <t>Estimate (Sep was ~$39k, Oct ~$18k so far), spread evenly.</t>
        </is>
      </c>
    </row>
    <row r="29">
      <c r="A29" s="18" t="inlineStr">
        <is>
          <t xml:space="preserve">   Equipment &amp; service hires</t>
        </is>
      </c>
      <c r="B29" s="120">
        <f>Assumptions!$B$28/5</f>
        <v>6000</v>
      </c>
      <c r="C29" s="121" t="n"/>
      <c r="D29" s="120">
        <f>Assumptions!$B$28/5</f>
        <v>6000</v>
      </c>
      <c r="E29" s="121" t="n"/>
      <c r="F29" s="120">
        <f>Assumptions!$B$28/5</f>
        <v>6000</v>
      </c>
      <c r="G29" s="121" t="n"/>
      <c r="H29" s="120">
        <f>Assumptions!$B$28/5</f>
        <v>6000</v>
      </c>
      <c r="I29" s="121" t="n"/>
      <c r="J29" s="120">
        <f>Assumptions!$B$28/5</f>
        <v>6000</v>
      </c>
      <c r="K29" s="121" t="n"/>
      <c r="L29" s="120">
        <f>SUM(B29,D29,F29,H29,J29)</f>
        <v>30000</v>
      </c>
      <c r="M29" s="120">
        <f>SUM(C29,E29,G29,I29,K29)</f>
        <v>0</v>
      </c>
      <c r="N29" s="120">
        <f>(C29-B29)*C$8+(E29-D29)*E$8+(G29-F29)*G$8+(I29-H29)*I$8+(K29-J29)*K$8</f>
        <v>0</v>
      </c>
      <c r="O29" s="108" t="inlineStr">
        <is>
          <t>Estimate, spread evenly. The hire bills already in Xero (WordBirds, Riedel, 2020 Events, Start Webcast) are in the creditors run.</t>
        </is>
      </c>
    </row>
    <row r="30">
      <c r="A30" s="18" t="inlineStr">
        <is>
          <t xml:space="preserve">   Subscriptions &amp; licences (client)</t>
        </is>
      </c>
      <c r="B30" s="120">
        <f>SUMIFS(Payables!$D$19:$D$95,Payables!$K$19:$K$95,"Yes",Payables!$G$19:$G$95,"&gt;="&amp;Assumptions!$B$44,Payables!$G$19:$G$95,"&lt;="&amp;Assumptions!$C$44,Payables!$E$19:$E$95,"&lt;&gt;Card",Payables!$F$19:$F$95,"Client subscriptions")+Assumptions!$B$31/5</f>
        <v>600</v>
      </c>
      <c r="C30" s="121" t="n"/>
      <c r="D30" s="120">
        <f>SUMIFS(Payables!$D$19:$D$95,Payables!$K$19:$K$95,"Yes",Payables!$G$19:$G$95,"&gt;="&amp;Assumptions!$B$45,Payables!$G$19:$G$95,"&lt;="&amp;Assumptions!$C$45,Payables!$E$19:$E$95,"&lt;&gt;Card",Payables!$F$19:$F$95,"Client subscriptions")+Assumptions!$B$31/5</f>
        <v>600</v>
      </c>
      <c r="E30" s="121" t="n"/>
      <c r="F30" s="120">
        <f>SUMIFS(Payables!$D$19:$D$95,Payables!$K$19:$K$95,"Yes",Payables!$G$19:$G$95,"&gt;="&amp;Assumptions!$B$46,Payables!$G$19:$G$95,"&lt;="&amp;Assumptions!$C$46,Payables!$E$19:$E$95,"&lt;&gt;Card",Payables!$F$19:$F$95,"Client subscriptions")+Assumptions!$B$31/5</f>
        <v>2085</v>
      </c>
      <c r="G30" s="121" t="n"/>
      <c r="H30" s="120">
        <f>SUMIFS(Payables!$D$19:$D$95,Payables!$K$19:$K$95,"Yes",Payables!$G$19:$G$95,"&gt;="&amp;Assumptions!$B$47,Payables!$G$19:$G$95,"&lt;="&amp;Assumptions!$C$47,Payables!$E$19:$E$95,"&lt;&gt;Card",Payables!$F$19:$F$95,"Client subscriptions")+Assumptions!$B$31/5</f>
        <v>600</v>
      </c>
      <c r="I30" s="121" t="n"/>
      <c r="J30" s="120">
        <f>SUMIFS(Payables!$D$19:$D$95,Payables!$K$19:$K$95,"Yes",Payables!$G$19:$G$95,"&gt;="&amp;Assumptions!$B$48,Payables!$G$19:$G$95,"&lt;="&amp;Assumptions!$C$48,Payables!$E$19:$E$95,"&lt;&gt;Card",Payables!$F$19:$F$95,"Client subscriptions")+Assumptions!$B$31/5</f>
        <v>6328.8</v>
      </c>
      <c r="K30" s="121" t="n"/>
      <c r="L30" s="120">
        <f>SUM(B30,D30,F30,H30,J30)</f>
        <v>10213.8</v>
      </c>
      <c r="M30" s="120">
        <f>SUM(C30,E30,G30,I30,K30)</f>
        <v>0</v>
      </c>
      <c r="N30" s="120">
        <f>(C30-B30)*C$8+(E30-D30)*E$8+(G30-F30)*G$8+(I30-H30)*I$8+(K30-J30)*K$8</f>
        <v>0</v>
      </c>
      <c r="O30" s="108" t="inlineStr">
        <is>
          <t>LiveU and Spacera Nov templates plus the unbilled estimate. Appspace and Spacera Oct are in the creditors run.</t>
        </is>
      </c>
    </row>
    <row r="31" ht="24" customHeight="1" s="109">
      <c r="A31" s="18" t="inlineStr">
        <is>
          <t xml:space="preserve">   Direct travel &amp; freight</t>
        </is>
      </c>
      <c r="B31" s="120">
        <f>SUMIFS(Payables!$D$19:$D$95,Payables!$K$19:$K$95,"Yes",Payables!$G$19:$G$95,"&gt;="&amp;Assumptions!$B$44,Payables!$G$19:$G$95,"&lt;="&amp;Assumptions!$C$44,Payables!$E$19:$E$95,"&lt;&gt;Card",Payables!$F$19:$F$95,"Direct travel &amp; freight")+Assumptions!$B$30/5</f>
        <v>1400</v>
      </c>
      <c r="C31" s="121" t="n"/>
      <c r="D31" s="120">
        <f>SUMIFS(Payables!$D$19:$D$95,Payables!$K$19:$K$95,"Yes",Payables!$G$19:$G$95,"&gt;="&amp;Assumptions!$B$45,Payables!$G$19:$G$95,"&lt;="&amp;Assumptions!$C$45,Payables!$E$19:$E$95,"&lt;&gt;Card",Payables!$F$19:$F$95,"Direct travel &amp; freight")+Assumptions!$B$30/5</f>
        <v>1400</v>
      </c>
      <c r="E31" s="121" t="n"/>
      <c r="F31" s="120">
        <f>SUMIFS(Payables!$D$19:$D$95,Payables!$K$19:$K$95,"Yes",Payables!$G$19:$G$95,"&gt;="&amp;Assumptions!$B$46,Payables!$G$19:$G$95,"&lt;="&amp;Assumptions!$C$46,Payables!$E$19:$E$95,"&lt;&gt;Card",Payables!$F$19:$F$95,"Direct travel &amp; freight")+Assumptions!$B$30/5</f>
        <v>1400</v>
      </c>
      <c r="G31" s="121" t="n"/>
      <c r="H31" s="120">
        <f>SUMIFS(Payables!$D$19:$D$95,Payables!$K$19:$K$95,"Yes",Payables!$G$19:$G$95,"&gt;="&amp;Assumptions!$B$47,Payables!$G$19:$G$95,"&lt;="&amp;Assumptions!$C$47,Payables!$E$19:$E$95,"&lt;&gt;Card",Payables!$F$19:$F$95,"Direct travel &amp; freight")+Assumptions!$B$30/5</f>
        <v>1400</v>
      </c>
      <c r="I31" s="121" t="n"/>
      <c r="J31" s="120">
        <f>SUMIFS(Payables!$D$19:$D$95,Payables!$K$19:$K$95,"Yes",Payables!$G$19:$G$95,"&gt;="&amp;Assumptions!$B$48,Payables!$G$19:$G$95,"&lt;="&amp;Assumptions!$C$48,Payables!$E$19:$E$95,"&lt;&gt;Card",Payables!$F$19:$F$95,"Direct travel &amp; freight")+Assumptions!$B$30/5</f>
        <v>1400</v>
      </c>
      <c r="K31" s="121" t="n"/>
      <c r="L31" s="120">
        <f>SUM(B31,D31,F31,H31,J31)</f>
        <v>7000</v>
      </c>
      <c r="M31" s="120">
        <f>SUM(C31,E31,G31,I31,K31)</f>
        <v>0</v>
      </c>
      <c r="N31" s="120">
        <f>(C31-B31)*C$8+(E31-D31)*E$8+(G31-F31)*G$8+(I31-H31)*I$8+(K31-J31)*K$8</f>
        <v>0</v>
      </c>
      <c r="O31" s="108" t="inlineStr">
        <is>
          <t>Estimate plus the Goget template (card).</t>
        </is>
      </c>
    </row>
    <row r="32">
      <c r="A32" s="9" t="inlineStr">
        <is>
          <t>Subtotal cost of sales</t>
        </is>
      </c>
      <c r="B32" s="123">
        <f>B27+B28+B29+B30+B31</f>
        <v>20000</v>
      </c>
      <c r="C32" s="123">
        <f>C27+C28+C29+C30+C31</f>
        <v>0</v>
      </c>
      <c r="D32" s="123">
        <f>D27+D28+D29+D30+D31</f>
        <v>20000</v>
      </c>
      <c r="E32" s="123">
        <f>E27+E28+E29+E30+E31</f>
        <v>0</v>
      </c>
      <c r="F32" s="123">
        <f>F27+F28+F29+F30+F31</f>
        <v>21485</v>
      </c>
      <c r="G32" s="123">
        <f>G27+G28+G29+G30+G31</f>
        <v>0</v>
      </c>
      <c r="H32" s="123">
        <f>H27+H28+H29+H30+H31</f>
        <v>20000</v>
      </c>
      <c r="I32" s="123">
        <f>I27+I28+I29+I30+I31</f>
        <v>0</v>
      </c>
      <c r="J32" s="123">
        <f>J27+J28+J29+J30+J31</f>
        <v>25728.8</v>
      </c>
      <c r="K32" s="123">
        <f>K27+K28+K29+K30+K31</f>
        <v>0</v>
      </c>
      <c r="L32" s="123">
        <f>L27+L28+L29+L30+L31</f>
        <v>107213.8</v>
      </c>
      <c r="M32" s="123">
        <f>M27+M28+M29+M30+M31</f>
        <v>0</v>
      </c>
      <c r="N32" s="123">
        <f>N27+N28+N29+N30+N31</f>
        <v>0</v>
      </c>
      <c r="O32" s="12" t="n"/>
    </row>
    <row r="33"/>
    <row r="34">
      <c r="A34" s="22" t="inlineStr">
        <is>
          <t>Overheads</t>
        </is>
      </c>
    </row>
    <row r="35">
      <c r="A35" s="18" t="inlineStr">
        <is>
          <t xml:space="preserve">   Rent &amp; outgoings</t>
        </is>
      </c>
      <c r="B35" s="120">
        <f>SUMIFS(Payables!$D$19:$D$95,Payables!$K$19:$K$95,"Yes",Payables!$G$19:$G$95,"&gt;="&amp;Assumptions!$B$44,Payables!$G$19:$G$95,"&lt;="&amp;Assumptions!$C$44,Payables!$E$19:$E$95,"&lt;&gt;Card",Payables!$F$19:$F$95,"Rent")</f>
        <v>28895.72</v>
      </c>
      <c r="C35" s="121" t="n"/>
      <c r="D35" s="120">
        <f>SUMIFS(Payables!$D$19:$D$95,Payables!$K$19:$K$95,"Yes",Payables!$G$19:$G$95,"&gt;="&amp;Assumptions!$B$45,Payables!$G$19:$G$95,"&lt;="&amp;Assumptions!$C$45,Payables!$E$19:$E$95,"&lt;&gt;Card",Payables!$F$19:$F$95,"Rent")</f>
        <v>0</v>
      </c>
      <c r="E35" s="121" t="n"/>
      <c r="F35" s="120">
        <f>SUMIFS(Payables!$D$19:$D$95,Payables!$K$19:$K$95,"Yes",Payables!$G$19:$G$95,"&gt;="&amp;Assumptions!$B$46,Payables!$G$19:$G$95,"&lt;="&amp;Assumptions!$C$46,Payables!$E$19:$E$95,"&lt;&gt;Card",Payables!$F$19:$F$95,"Rent")</f>
        <v>0</v>
      </c>
      <c r="G35" s="121" t="n"/>
      <c r="H35" s="120">
        <f>SUMIFS(Payables!$D$19:$D$95,Payables!$K$19:$K$95,"Yes",Payables!$G$19:$G$95,"&gt;="&amp;Assumptions!$B$47,Payables!$G$19:$G$95,"&lt;="&amp;Assumptions!$C$47,Payables!$E$19:$E$95,"&lt;&gt;Card",Payables!$F$19:$F$95,"Rent")</f>
        <v>0</v>
      </c>
      <c r="I35" s="121" t="n"/>
      <c r="J35" s="120">
        <f>SUMIFS(Payables!$D$19:$D$95,Payables!$K$19:$K$95,"Yes",Payables!$G$19:$G$95,"&gt;="&amp;Assumptions!$B$48,Payables!$G$19:$G$95,"&lt;="&amp;Assumptions!$C$48,Payables!$E$19:$E$95,"&lt;&gt;Card",Payables!$F$19:$F$95,"Rent")</f>
        <v>28895.72</v>
      </c>
      <c r="K35" s="121" t="n"/>
      <c r="L35" s="120">
        <f>SUM(B35,D35,F35,H35,J35)</f>
        <v>57791.44</v>
      </c>
      <c r="M35" s="120">
        <f>SUM(C35,E35,G35,I35,K35)</f>
        <v>0</v>
      </c>
      <c r="N35" s="120">
        <f>(C35-B35)*C$8+(E35-D35)*E$8+(G35-F35)*G$8+(I35-H35)*I$8+(K35-J35)*K$8</f>
        <v>0</v>
      </c>
      <c r="O35" s="108" t="inlineStr">
        <is>
          <t>Investa Nov rent ~$28,896 billed 1 Nov, paid with the 2 Nov run (week 1). Dec rent lands Tue 1 Dec (week 5) if they bill on the day again.</t>
        </is>
      </c>
    </row>
    <row r="36">
      <c r="A36" s="18" t="inlineStr">
        <is>
          <t xml:space="preserve">   IT network service &amp; support</t>
        </is>
      </c>
      <c r="B36" s="120">
        <f>SUMIFS(Payables!$D$19:$D$95,Payables!$K$19:$K$95,"Yes",Payables!$G$19:$G$95,"&gt;="&amp;Assumptions!$B$44,Payables!$G$19:$G$95,"&lt;="&amp;Assumptions!$C$44,Payables!$E$19:$E$95,"&lt;&gt;Card",Payables!$F$19:$F$95,"IT support")</f>
        <v>0</v>
      </c>
      <c r="C36" s="121" t="n"/>
      <c r="D36" s="120">
        <f>SUMIFS(Payables!$D$19:$D$95,Payables!$K$19:$K$95,"Yes",Payables!$G$19:$G$95,"&gt;="&amp;Assumptions!$B$45,Payables!$G$19:$G$95,"&lt;="&amp;Assumptions!$C$45,Payables!$E$19:$E$95,"&lt;&gt;Card",Payables!$F$19:$F$95,"IT support")</f>
        <v>0</v>
      </c>
      <c r="E36" s="121" t="n"/>
      <c r="F36" s="120">
        <f>SUMIFS(Payables!$D$19:$D$95,Payables!$K$19:$K$95,"Yes",Payables!$G$19:$G$95,"&gt;="&amp;Assumptions!$B$46,Payables!$G$19:$G$95,"&lt;="&amp;Assumptions!$C$46,Payables!$E$19:$E$95,"&lt;&gt;Card",Payables!$F$19:$F$95,"IT support")</f>
        <v>14466.27</v>
      </c>
      <c r="G36" s="121" t="n"/>
      <c r="H36" s="120">
        <f>SUMIFS(Payables!$D$19:$D$95,Payables!$K$19:$K$95,"Yes",Payables!$G$19:$G$95,"&gt;="&amp;Assumptions!$B$47,Payables!$G$19:$G$95,"&lt;="&amp;Assumptions!$C$47,Payables!$E$19:$E$95,"&lt;&gt;Card",Payables!$F$19:$F$95,"IT support")</f>
        <v>0</v>
      </c>
      <c r="I36" s="121" t="n"/>
      <c r="J36" s="120">
        <f>SUMIFS(Payables!$D$19:$D$95,Payables!$K$19:$K$95,"Yes",Payables!$G$19:$G$95,"&gt;="&amp;Assumptions!$B$48,Payables!$G$19:$G$95,"&lt;="&amp;Assumptions!$C$48,Payables!$E$19:$E$95,"&lt;&gt;Card",Payables!$F$19:$F$95,"IT support")</f>
        <v>0</v>
      </c>
      <c r="K36" s="121" t="n"/>
      <c r="L36" s="120">
        <f>SUM(B36,D36,F36,H36,J36)</f>
        <v>14466.27</v>
      </c>
      <c r="M36" s="120">
        <f>SUM(C36,E36,G36,I36,K36)</f>
        <v>0</v>
      </c>
      <c r="N36" s="120">
        <f>(C36-B36)*C$8+(E36-D36)*E$8+(G36-F36)*G$8+(I36-H36)*I$8+(K36-J36)*K$8</f>
        <v>0</v>
      </c>
      <c r="O36" s="108" t="inlineStr">
        <is>
          <t>First Focus CORE + Azure, DD 16 Nov (week 3).</t>
        </is>
      </c>
    </row>
    <row r="37" ht="24" customHeight="1" s="109">
      <c r="A37" s="18" t="inlineStr">
        <is>
          <t xml:space="preserve">   Advertising &amp; marketing</t>
        </is>
      </c>
      <c r="B37" s="120">
        <f>SUMIFS(Payables!$D$19:$D$95,Payables!$K$19:$K$95,"Yes",Payables!$G$19:$G$95,"&gt;="&amp;Assumptions!$B$44,Payables!$G$19:$G$95,"&lt;="&amp;Assumptions!$C$44,Payables!$E$19:$E$95,"&lt;&gt;Card",Payables!$F$19:$F$95,"Advertising")</f>
        <v>0</v>
      </c>
      <c r="C37" s="121" t="n"/>
      <c r="D37" s="120">
        <f>SUMIFS(Payables!$D$19:$D$95,Payables!$K$19:$K$95,"Yes",Payables!$G$19:$G$95,"&gt;="&amp;Assumptions!$B$45,Payables!$G$19:$G$95,"&lt;="&amp;Assumptions!$C$45,Payables!$E$19:$E$95,"&lt;&gt;Card",Payables!$F$19:$F$95,"Advertising")</f>
        <v>0</v>
      </c>
      <c r="E37" s="121" t="n"/>
      <c r="F37" s="120">
        <f>SUMIFS(Payables!$D$19:$D$95,Payables!$K$19:$K$95,"Yes",Payables!$G$19:$G$95,"&gt;="&amp;Assumptions!$B$46,Payables!$G$19:$G$95,"&lt;="&amp;Assumptions!$C$46,Payables!$E$19:$E$95,"&lt;&gt;Card",Payables!$F$19:$F$95,"Advertising")</f>
        <v>0</v>
      </c>
      <c r="G37" s="121" t="n"/>
      <c r="H37" s="120">
        <f>SUMIFS(Payables!$D$19:$D$95,Payables!$K$19:$K$95,"Yes",Payables!$G$19:$G$95,"&gt;="&amp;Assumptions!$B$47,Payables!$G$19:$G$95,"&lt;="&amp;Assumptions!$C$47,Payables!$E$19:$E$95,"&lt;&gt;Card",Payables!$F$19:$F$95,"Advertising")</f>
        <v>4675</v>
      </c>
      <c r="I37" s="121" t="n"/>
      <c r="J37" s="120">
        <f>SUMIFS(Payables!$D$19:$D$95,Payables!$K$19:$K$95,"Yes",Payables!$G$19:$G$95,"&gt;="&amp;Assumptions!$B$48,Payables!$G$19:$G$95,"&lt;="&amp;Assumptions!$C$48,Payables!$E$19:$E$95,"&lt;&gt;Card",Payables!$F$19:$F$95,"Advertising")</f>
        <v>0</v>
      </c>
      <c r="K37" s="121" t="n"/>
      <c r="L37" s="120">
        <f>SUM(B37,D37,F37,H37,J37)</f>
        <v>4675</v>
      </c>
      <c r="M37" s="120">
        <f>SUM(C37,E37,G37,I37,K37)</f>
        <v>0</v>
      </c>
      <c r="N37" s="120">
        <f>(C37-B37)*C$8+(E37-D37)*E$8+(G37-F37)*G$8+(I37-H37)*I$8+(K37-J37)*K$8</f>
        <v>0</v>
      </c>
      <c r="O37" s="108" t="inlineStr">
        <is>
          <t>RJW digital marketing Nov $4,675, due 21 Nov.</t>
        </is>
      </c>
    </row>
    <row r="38" ht="24" customHeight="1" s="109">
      <c r="A38" s="18" t="inlineStr">
        <is>
          <t xml:space="preserve">   Accounting, legal &amp; advisory</t>
        </is>
      </c>
      <c r="B38" s="120">
        <f>SUMIFS(Payables!$D$19:$D$95,Payables!$K$19:$K$95,"Yes",Payables!$G$19:$G$95,"&gt;="&amp;Assumptions!$B$44,Payables!$G$19:$G$95,"&lt;="&amp;Assumptions!$C$44,Payables!$E$19:$E$95,"&lt;&gt;Card",Payables!$F$19:$F$95,"Professional fees")+Assumptions!$B$33/5</f>
        <v>4650</v>
      </c>
      <c r="C38" s="121" t="n"/>
      <c r="D38" s="120">
        <f>SUMIFS(Payables!$D$19:$D$95,Payables!$K$19:$K$95,"Yes",Payables!$G$19:$G$95,"&gt;="&amp;Assumptions!$B$45,Payables!$G$19:$G$95,"&lt;="&amp;Assumptions!$C$45,Payables!$E$19:$E$95,"&lt;&gt;Card",Payables!$F$19:$F$95,"Professional fees")+Assumptions!$B$33/5</f>
        <v>1680</v>
      </c>
      <c r="E38" s="121" t="n"/>
      <c r="F38" s="120">
        <f>SUMIFS(Payables!$D$19:$D$95,Payables!$K$19:$K$95,"Yes",Payables!$G$19:$G$95,"&gt;="&amp;Assumptions!$B$46,Payables!$G$19:$G$95,"&lt;="&amp;Assumptions!$C$46,Payables!$E$19:$E$95,"&lt;&gt;Card",Payables!$F$19:$F$95,"Professional fees")+Assumptions!$B$33/5</f>
        <v>800</v>
      </c>
      <c r="G38" s="121" t="n"/>
      <c r="H38" s="120">
        <f>SUMIFS(Payables!$D$19:$D$95,Payables!$K$19:$K$95,"Yes",Payables!$G$19:$G$95,"&gt;="&amp;Assumptions!$B$47,Payables!$G$19:$G$95,"&lt;="&amp;Assumptions!$C$47,Payables!$E$19:$E$95,"&lt;&gt;Card",Payables!$F$19:$F$95,"Professional fees")+Assumptions!$B$33/5</f>
        <v>800</v>
      </c>
      <c r="I38" s="121" t="n"/>
      <c r="J38" s="120">
        <f>SUMIFS(Payables!$D$19:$D$95,Payables!$K$19:$K$95,"Yes",Payables!$G$19:$G$95,"&gt;="&amp;Assumptions!$B$48,Payables!$G$19:$G$95,"&lt;="&amp;Assumptions!$C$48,Payables!$E$19:$E$95,"&lt;&gt;Card",Payables!$F$19:$F$95,"Professional fees")+Assumptions!$B$33/5</f>
        <v>800</v>
      </c>
      <c r="K38" s="121" t="n"/>
      <c r="L38" s="120">
        <f>SUM(B38,D38,F38,H38,J38)</f>
        <v>8730</v>
      </c>
      <c r="M38" s="120">
        <f>SUM(C38,E38,G38,I38,K38)</f>
        <v>0</v>
      </c>
      <c r="N38" s="120">
        <f>(C38-B38)*C$8+(E38-D38)*E$8+(G38-F38)*G$8+(I38-H38)*I$8+(K38-J38)*K$8</f>
        <v>0</v>
      </c>
      <c r="O38" s="108" t="inlineStr">
        <is>
          <t>8020 Advisors $3,850 and Employsure $880 templates, plus the estimate. Easton Belle legal is in the creditors run.</t>
        </is>
      </c>
    </row>
    <row r="39" ht="24" customHeight="1" s="109">
      <c r="A39" s="18" t="inlineStr">
        <is>
          <t xml:space="preserve">   Dues &amp; subscriptions</t>
        </is>
      </c>
      <c r="B39" s="120">
        <f>SUMIFS(Payables!$D$19:$D$95,Payables!$K$19:$K$95,"Yes",Payables!$G$19:$G$95,"&gt;="&amp;Assumptions!$B$44,Payables!$G$19:$G$95,"&lt;="&amp;Assumptions!$C$44,Payables!$E$19:$E$95,"&lt;&gt;Card",Payables!$F$19:$F$95,"Dues &amp; subscriptions")</f>
        <v>0</v>
      </c>
      <c r="C39" s="121" t="n"/>
      <c r="D39" s="120">
        <f>SUMIFS(Payables!$D$19:$D$95,Payables!$K$19:$K$95,"Yes",Payables!$G$19:$G$95,"&gt;="&amp;Assumptions!$B$45,Payables!$G$19:$G$95,"&lt;="&amp;Assumptions!$C$45,Payables!$E$19:$E$95,"&lt;&gt;Card",Payables!$F$19:$F$95,"Dues &amp; subscriptions")</f>
        <v>0</v>
      </c>
      <c r="E39" s="121" t="n"/>
      <c r="F39" s="120">
        <f>SUMIFS(Payables!$D$19:$D$95,Payables!$K$19:$K$95,"Yes",Payables!$G$19:$G$95,"&gt;="&amp;Assumptions!$B$46,Payables!$G$19:$G$95,"&lt;="&amp;Assumptions!$C$46,Payables!$E$19:$E$95,"&lt;&gt;Card",Payables!$F$19:$F$95,"Dues &amp; subscriptions")</f>
        <v>0</v>
      </c>
      <c r="G39" s="121" t="n"/>
      <c r="H39" s="120">
        <f>SUMIFS(Payables!$D$19:$D$95,Payables!$K$19:$K$95,"Yes",Payables!$G$19:$G$95,"&gt;="&amp;Assumptions!$B$47,Payables!$G$19:$G$95,"&lt;="&amp;Assumptions!$C$47,Payables!$E$19:$E$95,"&lt;&gt;Card",Payables!$F$19:$F$95,"Dues &amp; subscriptions")</f>
        <v>0</v>
      </c>
      <c r="I39" s="121" t="n"/>
      <c r="J39" s="120">
        <f>SUMIFS(Payables!$D$19:$D$95,Payables!$K$19:$K$95,"Yes",Payables!$G$19:$G$95,"&gt;="&amp;Assumptions!$B$48,Payables!$G$19:$G$95,"&lt;="&amp;Assumptions!$C$48,Payables!$E$19:$E$95,"&lt;&gt;Card",Payables!$F$19:$F$95,"Dues &amp; subscriptions")</f>
        <v>0</v>
      </c>
      <c r="K39" s="121" t="n"/>
      <c r="L39" s="120">
        <f>SUM(B39,D39,F39,H39,J39)</f>
        <v>0</v>
      </c>
      <c r="M39" s="120">
        <f>SUM(C39,E39,G39,I39,K39)</f>
        <v>0</v>
      </c>
      <c r="N39" s="120">
        <f>(C39-B39)*C$8+(E39-D39)*E$8+(G39-F39)*G$8+(I39-H39)*I$8+(K39-J39)*K$8</f>
        <v>0</v>
      </c>
      <c r="O39" s="108" t="inlineStr">
        <is>
          <t>Card subscriptions sit in the card line. CEO Institute and AVIXA fall after 2 Dec.</t>
        </is>
      </c>
    </row>
    <row r="40">
      <c r="A40" s="18" t="inlineStr">
        <is>
          <t xml:space="preserve">   Telephone &amp; internet</t>
        </is>
      </c>
      <c r="B40" s="120">
        <f>SUMIFS(Payables!$D$19:$D$95,Payables!$K$19:$K$95,"Yes",Payables!$G$19:$G$95,"&gt;="&amp;Assumptions!$B$44,Payables!$G$19:$G$95,"&lt;="&amp;Assumptions!$C$44,Payables!$E$19:$E$95,"&lt;&gt;Card",Payables!$F$19:$F$95,"Telephone &amp; internet")</f>
        <v>0</v>
      </c>
      <c r="C40" s="121" t="n"/>
      <c r="D40" s="120">
        <f>SUMIFS(Payables!$D$19:$D$95,Payables!$K$19:$K$95,"Yes",Payables!$G$19:$G$95,"&gt;="&amp;Assumptions!$B$45,Payables!$G$19:$G$95,"&lt;="&amp;Assumptions!$C$45,Payables!$E$19:$E$95,"&lt;&gt;Card",Payables!$F$19:$F$95,"Telephone &amp; internet")</f>
        <v>0</v>
      </c>
      <c r="E40" s="121" t="n"/>
      <c r="F40" s="120">
        <f>SUMIFS(Payables!$D$19:$D$95,Payables!$K$19:$K$95,"Yes",Payables!$G$19:$G$95,"&gt;="&amp;Assumptions!$B$46,Payables!$G$19:$G$95,"&lt;="&amp;Assumptions!$C$46,Payables!$E$19:$E$95,"&lt;&gt;Card",Payables!$F$19:$F$95,"Telephone &amp; internet")</f>
        <v>0</v>
      </c>
      <c r="G40" s="121" t="n"/>
      <c r="H40" s="120">
        <f>SUMIFS(Payables!$D$19:$D$95,Payables!$K$19:$K$95,"Yes",Payables!$G$19:$G$95,"&gt;="&amp;Assumptions!$B$47,Payables!$G$19:$G$95,"&lt;="&amp;Assumptions!$C$47,Payables!$E$19:$E$95,"&lt;&gt;Card",Payables!$F$19:$F$95,"Telephone &amp; internet")</f>
        <v>231.2</v>
      </c>
      <c r="I40" s="121" t="n"/>
      <c r="J40" s="120">
        <f>SUMIFS(Payables!$D$19:$D$95,Payables!$K$19:$K$95,"Yes",Payables!$G$19:$G$95,"&gt;="&amp;Assumptions!$B$48,Payables!$G$19:$G$95,"&lt;="&amp;Assumptions!$C$48,Payables!$E$19:$E$95,"&lt;&gt;Card",Payables!$F$19:$F$95,"Telephone &amp; internet")</f>
        <v>0</v>
      </c>
      <c r="K40" s="121" t="n"/>
      <c r="L40" s="120">
        <f>SUM(B40,D40,F40,H40,J40)</f>
        <v>231.2</v>
      </c>
      <c r="M40" s="120">
        <f>SUM(C40,E40,G40,I40,K40)</f>
        <v>0</v>
      </c>
      <c r="N40" s="120">
        <f>(C40-B40)*C$8+(E40-D40)*E$8+(G40-F40)*G$8+(I40-H40)*I$8+(K40-J40)*K$8</f>
        <v>0</v>
      </c>
      <c r="O40" s="108" t="inlineStr">
        <is>
          <t>Optus Lugstein BPAY, Telstra Nighthawk Nov. Optus mobiles Oct is in the creditors run, Nov falls after 2 Dec.</t>
        </is>
      </c>
    </row>
    <row r="41">
      <c r="A41" s="18" t="inlineStr">
        <is>
          <t xml:space="preserve">   Recruitment</t>
        </is>
      </c>
      <c r="B41" s="120">
        <f>SUMIFS(Payables!$D$19:$D$95,Payables!$K$19:$K$95,"Yes",Payables!$G$19:$G$95,"&gt;="&amp;Assumptions!$B$44,Payables!$G$19:$G$95,"&lt;="&amp;Assumptions!$C$44,Payables!$E$19:$E$95,"&lt;&gt;Card",Payables!$F$19:$F$95,"Recruitment")+Assumptions!$B$32/5</f>
        <v>1000</v>
      </c>
      <c r="C41" s="121" t="n"/>
      <c r="D41" s="120">
        <f>SUMIFS(Payables!$D$19:$D$95,Payables!$K$19:$K$95,"Yes",Payables!$G$19:$G$95,"&gt;="&amp;Assumptions!$B$45,Payables!$G$19:$G$95,"&lt;="&amp;Assumptions!$C$45,Payables!$E$19:$E$95,"&lt;&gt;Card",Payables!$F$19:$F$95,"Recruitment")+Assumptions!$B$32/5</f>
        <v>1000</v>
      </c>
      <c r="E41" s="121" t="n"/>
      <c r="F41" s="120">
        <f>SUMIFS(Payables!$D$19:$D$95,Payables!$K$19:$K$95,"Yes",Payables!$G$19:$G$95,"&gt;="&amp;Assumptions!$B$46,Payables!$G$19:$G$95,"&lt;="&amp;Assumptions!$C$46,Payables!$E$19:$E$95,"&lt;&gt;Card",Payables!$F$19:$F$95,"Recruitment")+Assumptions!$B$32/5</f>
        <v>1000</v>
      </c>
      <c r="G41" s="121" t="n"/>
      <c r="H41" s="120">
        <f>SUMIFS(Payables!$D$19:$D$95,Payables!$K$19:$K$95,"Yes",Payables!$G$19:$G$95,"&gt;="&amp;Assumptions!$B$47,Payables!$G$19:$G$95,"&lt;="&amp;Assumptions!$C$47,Payables!$E$19:$E$95,"&lt;&gt;Card",Payables!$F$19:$F$95,"Recruitment")+Assumptions!$B$32/5</f>
        <v>1000</v>
      </c>
      <c r="I41" s="121" t="n"/>
      <c r="J41" s="120">
        <f>SUMIFS(Payables!$D$19:$D$95,Payables!$K$19:$K$95,"Yes",Payables!$G$19:$G$95,"&gt;="&amp;Assumptions!$B$48,Payables!$G$19:$G$95,"&lt;="&amp;Assumptions!$C$48,Payables!$E$19:$E$95,"&lt;&gt;Card",Payables!$F$19:$F$95,"Recruitment")+Assumptions!$B$32/5</f>
        <v>1000</v>
      </c>
      <c r="K41" s="121" t="n"/>
      <c r="L41" s="120">
        <f>SUM(B41,D41,F41,H41,J41)</f>
        <v>5000</v>
      </c>
      <c r="M41" s="120">
        <f>SUM(C41,E41,G41,I41,K41)</f>
        <v>0</v>
      </c>
      <c r="N41" s="120">
        <f>(C41-B41)*C$8+(E41-D41)*E$8+(G41-F41)*G$8+(I41-H41)*I$8+(K41-J41)*K$8</f>
        <v>0</v>
      </c>
      <c r="O41" s="108" t="inlineStr">
        <is>
          <t>Estimate. Seek ads go on the card.</t>
        </is>
      </c>
    </row>
    <row r="42">
      <c r="A42" s="18" t="inlineStr">
        <is>
          <t xml:space="preserve">   Insurance</t>
        </is>
      </c>
      <c r="B42" s="120">
        <f>SUMIFS(Payables!$D$19:$D$95,Payables!$K$19:$K$95,"Yes",Payables!$G$19:$G$95,"&gt;="&amp;Assumptions!$B$44,Payables!$G$19:$G$95,"&lt;="&amp;Assumptions!$C$44,Payables!$E$19:$E$95,"&lt;&gt;Card",Payables!$F$19:$F$95,"Insurance")+Assumptions!$B$34/5</f>
        <v>0</v>
      </c>
      <c r="C42" s="121" t="n"/>
      <c r="D42" s="120">
        <f>SUMIFS(Payables!$D$19:$D$95,Payables!$K$19:$K$95,"Yes",Payables!$G$19:$G$95,"&gt;="&amp;Assumptions!$B$45,Payables!$G$19:$G$95,"&lt;="&amp;Assumptions!$C$45,Payables!$E$19:$E$95,"&lt;&gt;Card",Payables!$F$19:$F$95,"Insurance")+Assumptions!$B$34/5</f>
        <v>0</v>
      </c>
      <c r="E42" s="121" t="n"/>
      <c r="F42" s="120">
        <f>SUMIFS(Payables!$D$19:$D$95,Payables!$K$19:$K$95,"Yes",Payables!$G$19:$G$95,"&gt;="&amp;Assumptions!$B$46,Payables!$G$19:$G$95,"&lt;="&amp;Assumptions!$C$46,Payables!$E$19:$E$95,"&lt;&gt;Card",Payables!$F$19:$F$95,"Insurance")+Assumptions!$B$34/5</f>
        <v>0</v>
      </c>
      <c r="G42" s="121" t="n"/>
      <c r="H42" s="120">
        <f>SUMIFS(Payables!$D$19:$D$95,Payables!$K$19:$K$95,"Yes",Payables!$G$19:$G$95,"&gt;="&amp;Assumptions!$B$47,Payables!$G$19:$G$95,"&lt;="&amp;Assumptions!$C$47,Payables!$E$19:$E$95,"&lt;&gt;Card",Payables!$F$19:$F$95,"Insurance")+Assumptions!$B$34/5</f>
        <v>0</v>
      </c>
      <c r="I42" s="121" t="n"/>
      <c r="J42" s="120">
        <f>SUMIFS(Payables!$D$19:$D$95,Payables!$K$19:$K$95,"Yes",Payables!$G$19:$G$95,"&gt;="&amp;Assumptions!$B$48,Payables!$G$19:$G$95,"&lt;="&amp;Assumptions!$C$48,Payables!$E$19:$E$95,"&lt;&gt;Card",Payables!$F$19:$F$95,"Insurance")+Assumptions!$B$34/5</f>
        <v>0</v>
      </c>
      <c r="K42" s="121" t="n"/>
      <c r="L42" s="120">
        <f>SUM(B42,D42,F42,H42,J42)</f>
        <v>0</v>
      </c>
      <c r="M42" s="120">
        <f>SUM(C42,E42,G42,I42,K42)</f>
        <v>0</v>
      </c>
      <c r="N42" s="120">
        <f>(C42-B42)*C$8+(E42-D42)*E$8+(G42-F42)*G$8+(I42-H42)*I$8+(K42-J42)*K$8</f>
        <v>0</v>
      </c>
      <c r="O42" s="108" t="inlineStr">
        <is>
          <t>Brookvale $66,239 is in the creditors run (2 Nov). Nothing else expected - estimate is nil.</t>
        </is>
      </c>
    </row>
    <row r="43">
      <c r="A43" s="18" t="inlineStr">
        <is>
          <t xml:space="preserve">   Office, printing &amp; amenities</t>
        </is>
      </c>
      <c r="B43" s="120">
        <f>SUMIFS(Payables!$D$19:$D$95,Payables!$K$19:$K$95,"Yes",Payables!$G$19:$G$95,"&gt;="&amp;Assumptions!$B$44,Payables!$G$19:$G$95,"&lt;="&amp;Assumptions!$C$44,Payables!$E$19:$E$95,"&lt;&gt;Card",Payables!$F$19:$F$95,"Office")+Assumptions!$B$35/5</f>
        <v>400</v>
      </c>
      <c r="C43" s="121" t="n"/>
      <c r="D43" s="120">
        <f>SUMIFS(Payables!$D$19:$D$95,Payables!$K$19:$K$95,"Yes",Payables!$G$19:$G$95,"&gt;="&amp;Assumptions!$B$45,Payables!$G$19:$G$95,"&lt;="&amp;Assumptions!$C$45,Payables!$E$19:$E$95,"&lt;&gt;Card",Payables!$F$19:$F$95,"Office")+Assumptions!$B$35/5</f>
        <v>400</v>
      </c>
      <c r="E43" s="121" t="n"/>
      <c r="F43" s="120">
        <f>SUMIFS(Payables!$D$19:$D$95,Payables!$K$19:$K$95,"Yes",Payables!$G$19:$G$95,"&gt;="&amp;Assumptions!$B$46,Payables!$G$19:$G$95,"&lt;="&amp;Assumptions!$C$46,Payables!$E$19:$E$95,"&lt;&gt;Card",Payables!$F$19:$F$95,"Office")+Assumptions!$B$35/5</f>
        <v>400</v>
      </c>
      <c r="G43" s="121" t="n"/>
      <c r="H43" s="120">
        <f>SUMIFS(Payables!$D$19:$D$95,Payables!$K$19:$K$95,"Yes",Payables!$G$19:$G$95,"&gt;="&amp;Assumptions!$B$47,Payables!$G$19:$G$95,"&lt;="&amp;Assumptions!$C$47,Payables!$E$19:$E$95,"&lt;&gt;Card",Payables!$F$19:$F$95,"Office")+Assumptions!$B$35/5</f>
        <v>400</v>
      </c>
      <c r="I43" s="121" t="n"/>
      <c r="J43" s="120">
        <f>SUMIFS(Payables!$D$19:$D$95,Payables!$K$19:$K$95,"Yes",Payables!$G$19:$G$95,"&gt;="&amp;Assumptions!$B$48,Payables!$G$19:$G$95,"&lt;="&amp;Assumptions!$C$48,Payables!$E$19:$E$95,"&lt;&gt;Card",Payables!$F$19:$F$95,"Office")+Assumptions!$B$35/5</f>
        <v>400</v>
      </c>
      <c r="K43" s="121" t="n"/>
      <c r="L43" s="120">
        <f>SUM(B43,D43,F43,H43,J43)</f>
        <v>2000</v>
      </c>
      <c r="M43" s="120">
        <f>SUM(C43,E43,G43,I43,K43)</f>
        <v>0</v>
      </c>
      <c r="N43" s="120">
        <f>(C43-B43)*C$8+(E43-D43)*E$8+(G43-F43)*G$8+(I43-H43)*I$8+(K43-J43)*K$8</f>
        <v>0</v>
      </c>
      <c r="O43" s="108" t="inlineStr">
        <is>
          <t>Ricoh DD and Posh are in the creditors run, plus the estimate.</t>
        </is>
      </c>
    </row>
    <row r="44">
      <c r="A44" s="18" t="inlineStr">
        <is>
          <t xml:space="preserve">   Electricity</t>
        </is>
      </c>
      <c r="B44" s="120">
        <f>SUMIFS(Payables!$D$19:$D$95,Payables!$K$19:$K$95,"Yes",Payables!$G$19:$G$95,"&gt;="&amp;Assumptions!$B$44,Payables!$G$19:$G$95,"&lt;="&amp;Assumptions!$C$44,Payables!$E$19:$E$95,"&lt;&gt;Card",Payables!$F$19:$F$95,"Electricity")</f>
        <v>0</v>
      </c>
      <c r="C44" s="121" t="n"/>
      <c r="D44" s="120">
        <f>SUMIFS(Payables!$D$19:$D$95,Payables!$K$19:$K$95,"Yes",Payables!$G$19:$G$95,"&gt;="&amp;Assumptions!$B$45,Payables!$G$19:$G$95,"&lt;="&amp;Assumptions!$C$45,Payables!$E$19:$E$95,"&lt;&gt;Card",Payables!$F$19:$F$95,"Electricity")</f>
        <v>0</v>
      </c>
      <c r="E44" s="121" t="n"/>
      <c r="F44" s="120">
        <f>SUMIFS(Payables!$D$19:$D$95,Payables!$K$19:$K$95,"Yes",Payables!$G$19:$G$95,"&gt;="&amp;Assumptions!$B$46,Payables!$G$19:$G$95,"&lt;="&amp;Assumptions!$C$46,Payables!$E$19:$E$95,"&lt;&gt;Card",Payables!$F$19:$F$95,"Electricity")</f>
        <v>0</v>
      </c>
      <c r="G44" s="121" t="n"/>
      <c r="H44" s="120">
        <f>SUMIFS(Payables!$D$19:$D$95,Payables!$K$19:$K$95,"Yes",Payables!$G$19:$G$95,"&gt;="&amp;Assumptions!$B$47,Payables!$G$19:$G$95,"&lt;="&amp;Assumptions!$C$47,Payables!$E$19:$E$95,"&lt;&gt;Card",Payables!$F$19:$F$95,"Electricity")</f>
        <v>0</v>
      </c>
      <c r="I44" s="121" t="n"/>
      <c r="J44" s="120">
        <f>SUMIFS(Payables!$D$19:$D$95,Payables!$K$19:$K$95,"Yes",Payables!$G$19:$G$95,"&gt;="&amp;Assumptions!$B$48,Payables!$G$19:$G$95,"&lt;="&amp;Assumptions!$C$48,Payables!$E$19:$E$95,"&lt;&gt;Card",Payables!$F$19:$F$95,"Electricity")</f>
        <v>0</v>
      </c>
      <c r="K44" s="121" t="n"/>
      <c r="L44" s="120">
        <f>SUM(B44,D44,F44,H44,J44)</f>
        <v>0</v>
      </c>
      <c r="M44" s="120">
        <f>SUM(C44,E44,G44,I44,K44)</f>
        <v>0</v>
      </c>
      <c r="N44" s="120">
        <f>(C44-B44)*C$8+(E44-D44)*E$8+(G44-F44)*G$8+(I44-H44)*I$8+(K44-J44)*K$8</f>
        <v>0</v>
      </c>
      <c r="O44" s="108" t="inlineStr">
        <is>
          <t>Energy Australia DDs the PL card so it shows in the credit card line, not here.</t>
        </is>
      </c>
    </row>
    <row r="45">
      <c r="A45" s="18" t="inlineStr">
        <is>
          <t xml:space="preserve">   Bank &amp; merchant fees</t>
        </is>
      </c>
      <c r="B45" s="120">
        <f>Assumptions!$B$36/5</f>
        <v>200</v>
      </c>
      <c r="C45" s="121" t="n"/>
      <c r="D45" s="120">
        <f>Assumptions!$B$36/5</f>
        <v>200</v>
      </c>
      <c r="E45" s="121" t="n"/>
      <c r="F45" s="120">
        <f>Assumptions!$B$36/5</f>
        <v>200</v>
      </c>
      <c r="G45" s="121" t="n"/>
      <c r="H45" s="120">
        <f>Assumptions!$B$36/5</f>
        <v>200</v>
      </c>
      <c r="I45" s="121" t="n"/>
      <c r="J45" s="120">
        <f>Assumptions!$B$36/5</f>
        <v>200</v>
      </c>
      <c r="K45" s="121" t="n"/>
      <c r="L45" s="120">
        <f>SUM(B45,D45,F45,H45,J45)</f>
        <v>1000</v>
      </c>
      <c r="M45" s="120">
        <f>SUM(C45,E45,G45,I45,K45)</f>
        <v>0</v>
      </c>
      <c r="N45" s="120">
        <f>(C45-B45)*C$8+(E45-D45)*E$8+(G45-F45)*G$8+(I45-H45)*I$8+(K45-J45)*K$8</f>
        <v>0</v>
      </c>
      <c r="O45" s="108" t="inlineStr">
        <is>
          <t>Estimate - bank charges and Stripe.</t>
        </is>
      </c>
    </row>
    <row r="46" ht="24" customHeight="1" s="109">
      <c r="A46" s="18" t="inlineStr">
        <is>
          <t xml:space="preserve">   Credit card settlements (card spend, all categories)</t>
        </is>
      </c>
      <c r="B46" s="120">
        <f>Assumptions!$B$37/5</f>
        <v>5000</v>
      </c>
      <c r="C46" s="121" t="n"/>
      <c r="D46" s="120">
        <f>Assumptions!$B$37/5</f>
        <v>5000</v>
      </c>
      <c r="E46" s="121" t="n"/>
      <c r="F46" s="120">
        <f>Assumptions!$B$37/5</f>
        <v>5000</v>
      </c>
      <c r="G46" s="121" t="n"/>
      <c r="H46" s="120">
        <f>Assumptions!$B$37/5</f>
        <v>5000</v>
      </c>
      <c r="I46" s="121" t="n"/>
      <c r="J46" s="120">
        <f>Assumptions!$B$37/5</f>
        <v>5000</v>
      </c>
      <c r="K46" s="121" t="n"/>
      <c r="L46" s="120">
        <f>SUM(B46,D46,F46,H46,J46)</f>
        <v>25000</v>
      </c>
      <c r="M46" s="120">
        <f>SUM(C46,E46,G46,I46,K46)</f>
        <v>0</v>
      </c>
      <c r="N46" s="120">
        <f>(C46-B46)*C$8+(E46-D46)*E$8+(G46-F46)*G$8+(I46-H46)*I$8+(K46-J46)*K$8</f>
        <v>0</v>
      </c>
      <c r="O46" s="108" t="inlineStr">
        <is>
          <t>~$25k a month transferred to the PL and DL cards. Covers every Card row on the Payables tab.</t>
        </is>
      </c>
    </row>
    <row r="47">
      <c r="A47" s="18" t="inlineStr">
        <is>
          <t xml:space="preserve">   Other expenses</t>
        </is>
      </c>
      <c r="B47" s="120">
        <f>SUMIFS(Payables!$D$19:$D$95,Payables!$K$19:$K$95,"Yes",Payables!$G$19:$G$95,"&gt;="&amp;Assumptions!$B$44,Payables!$G$19:$G$95,"&lt;="&amp;Assumptions!$C$44,Payables!$E$19:$E$95,"&lt;&gt;Card",Payables!$F$19:$F$95,"Other")</f>
        <v>0</v>
      </c>
      <c r="C47" s="121" t="n"/>
      <c r="D47" s="120">
        <f>SUMIFS(Payables!$D$19:$D$95,Payables!$K$19:$K$95,"Yes",Payables!$G$19:$G$95,"&gt;="&amp;Assumptions!$B$45,Payables!$G$19:$G$95,"&lt;="&amp;Assumptions!$C$45,Payables!$E$19:$E$95,"&lt;&gt;Card",Payables!$F$19:$F$95,"Other")</f>
        <v>0</v>
      </c>
      <c r="E47" s="121" t="n"/>
      <c r="F47" s="120">
        <f>SUMIFS(Payables!$D$19:$D$95,Payables!$K$19:$K$95,"Yes",Payables!$G$19:$G$95,"&gt;="&amp;Assumptions!$B$46,Payables!$G$19:$G$95,"&lt;="&amp;Assumptions!$C$46,Payables!$E$19:$E$95,"&lt;&gt;Card",Payables!$F$19:$F$95,"Other")</f>
        <v>0</v>
      </c>
      <c r="G47" s="121" t="n"/>
      <c r="H47" s="120">
        <f>SUMIFS(Payables!$D$19:$D$95,Payables!$K$19:$K$95,"Yes",Payables!$G$19:$G$95,"&gt;="&amp;Assumptions!$B$47,Payables!$G$19:$G$95,"&lt;="&amp;Assumptions!$C$47,Payables!$E$19:$E$95,"&lt;&gt;Card",Payables!$F$19:$F$95,"Other")</f>
        <v>0</v>
      </c>
      <c r="I47" s="121" t="n"/>
      <c r="J47" s="120">
        <f>SUMIFS(Payables!$D$19:$D$95,Payables!$K$19:$K$95,"Yes",Payables!$G$19:$G$95,"&gt;="&amp;Assumptions!$B$48,Payables!$G$19:$G$95,"&lt;="&amp;Assumptions!$C$48,Payables!$E$19:$E$95,"&lt;&gt;Card",Payables!$F$19:$F$95,"Other")</f>
        <v>0</v>
      </c>
      <c r="K47" s="121" t="n"/>
      <c r="L47" s="120">
        <f>SUM(B47,D47,F47,H47,J47)</f>
        <v>0</v>
      </c>
      <c r="M47" s="120">
        <f>SUM(C47,E47,G47,I47,K47)</f>
        <v>0</v>
      </c>
      <c r="N47" s="120">
        <f>(C47-B47)*C$8+(E47-D47)*E$8+(G47-F47)*G$8+(I47-H47)*I$8+(K47-J47)*K$8</f>
        <v>0</v>
      </c>
      <c r="O47" s="108" t="inlineStr">
        <is>
          <t>Nothing listed.</t>
        </is>
      </c>
    </row>
    <row r="48">
      <c r="A48" s="18" t="inlineStr">
        <is>
          <t>Creditors run (Xero aged payables paste - run Mon 2 Nov)</t>
        </is>
      </c>
      <c r="B48" s="120">
        <f>IF('Creditors Run'!$B$5=1,SUMPRODUCT(('Creditors Run'!$A$11:$A$510&lt;&gt;"")*ISNUMBER('Creditors Run'!$I$11:$I$510)*('Creditors Run'!$M$11:$M$510="")*('Creditors Run'!$N$11:$N$510&gt;=Assumptions!$B$44)*('Creditors Run'!$N$11:$N$510&lt;=Assumptions!$C$44),'Creditors Run'!$I$11:$I$510),0)</f>
        <v>127591.89000000001</v>
      </c>
      <c r="C48" s="121" t="n"/>
      <c r="D48" s="120">
        <f>IF('Creditors Run'!$B$5=1,SUMPRODUCT(('Creditors Run'!$A$11:$A$510&lt;&gt;"")*ISNUMBER('Creditors Run'!$I$11:$I$510)*('Creditors Run'!$M$11:$M$510="")*('Creditors Run'!$N$11:$N$510&gt;=Assumptions!$B$45)*('Creditors Run'!$N$11:$N$510&lt;=Assumptions!$C$45),'Creditors Run'!$I$11:$I$510),0)</f>
        <v>17753.73</v>
      </c>
      <c r="E48" s="121" t="n"/>
      <c r="F48" s="120">
        <f>IF('Creditors Run'!$B$5=1,SUMPRODUCT(('Creditors Run'!$A$11:$A$510&lt;&gt;"")*ISNUMBER('Creditors Run'!$I$11:$I$510)*('Creditors Run'!$M$11:$M$510="")*('Creditors Run'!$N$11:$N$510&gt;=Assumptions!$B$46)*('Creditors Run'!$N$11:$N$510&lt;=Assumptions!$C$46),'Creditors Run'!$I$11:$I$510),0)</f>
        <v>2920.06</v>
      </c>
      <c r="G48" s="121" t="n"/>
      <c r="H48" s="120">
        <f>IF('Creditors Run'!$B$5=1,SUMPRODUCT(('Creditors Run'!$A$11:$A$510&lt;&gt;"")*ISNUMBER('Creditors Run'!$I$11:$I$510)*('Creditors Run'!$M$11:$M$510="")*('Creditors Run'!$N$11:$N$510&gt;=Assumptions!$B$47)*('Creditors Run'!$N$11:$N$510&lt;=Assumptions!$C$47),'Creditors Run'!$I$11:$I$510),0)</f>
        <v>1829.52</v>
      </c>
      <c r="I48" s="121" t="n"/>
      <c r="J48" s="120">
        <f>IF('Creditors Run'!$B$5=1,SUMPRODUCT(('Creditors Run'!$A$11:$A$510&lt;&gt;"")*ISNUMBER('Creditors Run'!$I$11:$I$510)*('Creditors Run'!$M$11:$M$510="")*('Creditors Run'!$N$11:$N$510&gt;=Assumptions!$B$48)*('Creditors Run'!$N$11:$N$510&lt;=Assumptions!$C$48),'Creditors Run'!$I$11:$I$510),0)</f>
        <v>4157.58</v>
      </c>
      <c r="K48" s="121" t="n"/>
      <c r="L48" s="120">
        <f>SUM(B48,D48,F48,H48,J48)</f>
        <v>154252.78</v>
      </c>
      <c r="M48" s="120">
        <f>SUM(C48,E48,G48,I48,K48)</f>
        <v>0</v>
      </c>
      <c r="N48" s="120">
        <f>(C48-B48)*C$8+(E48-D48)*E$8+(G48-F48)*G$8+(I48-H48)*I$8+(K48-J48)*K$8</f>
        <v>0</v>
      </c>
      <c r="O48" s="108" t="inlineStr">
        <is>
          <t>Creditors Run tab - the 46 open bills at 29 Oct ($158k). Everything due by 2 Nov goes in the Mon 2 Nov run ($131k incl. Brookvale $66k and Appspace $19k). The rest lands on its due date. Start Webcast $12.8k is in the run but DL / TW still need to approve it.</t>
        </is>
      </c>
    </row>
    <row r="49">
      <c r="A49" s="9" t="inlineStr">
        <is>
          <t>Subtotal overheads</t>
        </is>
      </c>
      <c r="B49" s="123">
        <f>B35+B36+B37+B38+B39+B40+B41+B42+B43+B44+B45+B46+B47+B48</f>
        <v>167737.61000000002</v>
      </c>
      <c r="C49" s="123">
        <f>C35+C36+C37+C38+C39+C40+C41+C42+C43+C44+C45+C46+C47+C48</f>
        <v>0</v>
      </c>
      <c r="D49" s="123">
        <f>D35+D36+D37+D38+D39+D40+D41+D42+D43+D44+D45+D46+D47+D48</f>
        <v>26033.73</v>
      </c>
      <c r="E49" s="123">
        <f>E35+E36+E37+E38+E39+E40+E41+E42+E43+E44+E45+E46+E47+E48</f>
        <v>0</v>
      </c>
      <c r="F49" s="123">
        <f>F35+F36+F37+F38+F39+F40+F41+F42+F43+F44+F45+F46+F47+F48</f>
        <v>24786.33</v>
      </c>
      <c r="G49" s="123">
        <f>G35+G36+G37+G38+G39+G40+G41+G42+G43+G44+G45+G46+G47+G48</f>
        <v>0</v>
      </c>
      <c r="H49" s="123">
        <f>H35+H36+H37+H38+H39+H40+H41+H42+H43+H44+H45+H46+H47+H48</f>
        <v>14135.720000000001</v>
      </c>
      <c r="I49" s="123">
        <f>I35+I36+I37+I38+I39+I40+I41+I42+I43+I44+I45+I46+I47+I48</f>
        <v>0</v>
      </c>
      <c r="J49" s="123">
        <f>J35+J36+J37+J38+J39+J40+J41+J42+J43+J44+J45+J46+J47+J48</f>
        <v>40453.3</v>
      </c>
      <c r="K49" s="123">
        <f>K35+K36+K37+K38+K39+K40+K41+K42+K43+K44+K45+K46+K47+K48</f>
        <v>0</v>
      </c>
      <c r="L49" s="123">
        <f>L35+L36+L37+L38+L39+L40+L41+L42+L43+L44+L45+L46+L47+L48</f>
        <v>273146.69</v>
      </c>
      <c r="M49" s="123">
        <f>M35+M36+M37+M38+M39+M40+M41+M42+M43+M44+M45+M46+M47+M48</f>
        <v>0</v>
      </c>
      <c r="N49" s="123">
        <f>N35+N36+N37+N38+N39+N40+N41+N42+N43+N44+N45+N46+N47+N48</f>
        <v>0</v>
      </c>
      <c r="O49" s="12" t="n"/>
    </row>
    <row r="50"/>
    <row r="51">
      <c r="A51" s="22" t="inlineStr">
        <is>
          <t>Tax</t>
        </is>
      </c>
    </row>
    <row r="52" ht="24" customHeight="1" s="109">
      <c r="A52" s="18" t="inlineStr">
        <is>
          <t xml:space="preserve">   BAS - GST, PAYG withholding &amp; instalment (Q1)</t>
        </is>
      </c>
      <c r="B52" s="120">
        <f>IF(AND(Assumptions!$B$25&gt;=Assumptions!$B$44,Assumptions!$B$25&lt;=Assumptions!$C$44),Assumptions!$B$21*(Assumptions!$B$22+Assumptions!$B$23+Assumptions!$B$24),0)</f>
        <v>0</v>
      </c>
      <c r="C52" s="121" t="n"/>
      <c r="D52" s="120">
        <f>IF(AND(Assumptions!$B$25&gt;=Assumptions!$B$45,Assumptions!$B$25&lt;=Assumptions!$C$45),Assumptions!$B$21*(Assumptions!$B$22+Assumptions!$B$23+Assumptions!$B$24),0)</f>
        <v>0</v>
      </c>
      <c r="E52" s="121" t="n"/>
      <c r="F52" s="120">
        <f>IF(AND(Assumptions!$B$25&gt;=Assumptions!$B$46,Assumptions!$B$25&lt;=Assumptions!$C$46),Assumptions!$B$21*(Assumptions!$B$22+Assumptions!$B$23+Assumptions!$B$24),0)</f>
        <v>0</v>
      </c>
      <c r="G52" s="121" t="n"/>
      <c r="H52" s="120">
        <f>IF(AND(Assumptions!$B$25&gt;=Assumptions!$B$47,Assumptions!$B$25&lt;=Assumptions!$C$47),Assumptions!$B$21*(Assumptions!$B$22+Assumptions!$B$23+Assumptions!$B$24),0)</f>
        <v>96017.144</v>
      </c>
      <c r="I52" s="121" t="n"/>
      <c r="J52" s="120">
        <f>IF(AND(Assumptions!$B$25&gt;=Assumptions!$B$48,Assumptions!$B$25&lt;=Assumptions!$C$48),Assumptions!$B$21*(Assumptions!$B$22+Assumptions!$B$23+Assumptions!$B$24),0)</f>
        <v>0</v>
      </c>
      <c r="K52" s="121" t="n"/>
      <c r="L52" s="120">
        <f>SUM(B52,D52,F52,H52,J52)</f>
        <v>96017.144</v>
      </c>
      <c r="M52" s="120">
        <f>SUM(C52,E52,G52,I52,K52)</f>
        <v>0</v>
      </c>
      <c r="N52" s="120">
        <f>(C52-B52)*C$8+(E52-D52)*E$8+(G52-F52)*G$8+(I52-H52)*I$8+(K52-J52)*K$8</f>
        <v>0</v>
      </c>
      <c r="O52" s="108" t="str">
        <f>"Q1 BAS est. "&amp;TEXT(Assumptions!$B$22+Assumptions!$B$23+Assumptions!$B$24,"$#,##0")&amp;" (Sep PAYG + GST estimate). Did not go 28 Oct, so assumed 25 Nov through the agent (week 4). Swap the GST estimate for the activity statement figure."</f>
        <v>Q1 BAS est. $96,017 (Sep PAYG + GST estimate). Did not go 28 Oct, so assumed 25 Nov through the agent (week 4). Swap the GST estimate for the activity statement figure.</v>
      </c>
    </row>
    <row r="53">
      <c r="A53" s="9" t="inlineStr">
        <is>
          <t>Subtotal tax</t>
        </is>
      </c>
      <c r="B53" s="123">
        <f>B52</f>
        <v>0</v>
      </c>
      <c r="C53" s="123">
        <f>C52</f>
        <v>0</v>
      </c>
      <c r="D53" s="123">
        <f>D52</f>
        <v>0</v>
      </c>
      <c r="E53" s="123">
        <f>E52</f>
        <v>0</v>
      </c>
      <c r="F53" s="123">
        <f>F52</f>
        <v>0</v>
      </c>
      <c r="G53" s="123">
        <f>G52</f>
        <v>0</v>
      </c>
      <c r="H53" s="123">
        <f>H52</f>
        <v>96017.144</v>
      </c>
      <c r="I53" s="123">
        <f>I52</f>
        <v>0</v>
      </c>
      <c r="J53" s="123">
        <f>J52</f>
        <v>0</v>
      </c>
      <c r="K53" s="123">
        <f>K52</f>
        <v>0</v>
      </c>
      <c r="L53" s="123">
        <f>L52</f>
        <v>96017.144</v>
      </c>
      <c r="M53" s="123">
        <f>M52</f>
        <v>0</v>
      </c>
      <c r="N53" s="123">
        <f>N52</f>
        <v>0</v>
      </c>
      <c r="O53" s="12" t="n"/>
    </row>
    <row r="54"/>
    <row r="55">
      <c r="A55" s="13" t="inlineStr">
        <is>
          <t>TOTAL OPERATING EXPENSES</t>
        </is>
      </c>
      <c r="B55" s="122">
        <f>B24+B32+B49+B53</f>
        <v>286347.61</v>
      </c>
      <c r="C55" s="122">
        <f>C24+C32+C49+C53</f>
        <v>0</v>
      </c>
      <c r="D55" s="122">
        <f>D24+D32+D49+D53</f>
        <v>54636.479999999996</v>
      </c>
      <c r="E55" s="122">
        <f>E24+E32+E49+E53</f>
        <v>0</v>
      </c>
      <c r="F55" s="122">
        <f>F24+F32+F49+F66</f>
        <v>144881.33000000002</v>
      </c>
      <c r="G55" s="122">
        <f>G24+G32+G49+G53</f>
        <v>0</v>
      </c>
      <c r="H55" s="122">
        <f>H24+H32+H49+H53</f>
        <v>175298.27883999998</v>
      </c>
      <c r="I55" s="122">
        <f>I24+I32+I49+I53</f>
        <v>0</v>
      </c>
      <c r="J55" s="122">
        <f>J24+J32+J49+J53</f>
        <v>164792.1</v>
      </c>
      <c r="K55" s="122">
        <f>K24+K32+K49+K53</f>
        <v>0</v>
      </c>
      <c r="L55" s="122">
        <f>L24+L32+L49+L53</f>
        <v>825955.79884</v>
      </c>
      <c r="M55" s="122">
        <f>M24+M32+M49+M53</f>
        <v>0</v>
      </c>
      <c r="N55" s="122">
        <f>N24+N32+N49+N53</f>
        <v>0</v>
      </c>
      <c r="O55" s="16" t="n"/>
    </row>
    <row r="56"/>
    <row r="57">
      <c r="A57" s="13" t="inlineStr">
        <is>
          <t>NET CASH FLOW</t>
        </is>
      </c>
      <c r="B57" s="122">
        <f>B15-B55</f>
        <v>-241781.15</v>
      </c>
      <c r="C57" s="122">
        <f>C15-C55</f>
        <v>0</v>
      </c>
      <c r="D57" s="122">
        <f>D15-D55</f>
        <v>218746.17000000004</v>
      </c>
      <c r="E57" s="122">
        <f>E15-E55</f>
        <v>0</v>
      </c>
      <c r="F57" s="122">
        <f>F15-F68</f>
        <v>159720.20666666667</v>
      </c>
      <c r="G57" s="122">
        <f>G15-G55</f>
        <v>0</v>
      </c>
      <c r="H57" s="122">
        <f>H15-H55</f>
        <v>-138896.0021733333</v>
      </c>
      <c r="I57" s="122">
        <f>I15-I55</f>
        <v>0</v>
      </c>
      <c r="J57" s="122">
        <f>J15-J55</f>
        <v>32896.41666666663</v>
      </c>
      <c r="K57" s="122">
        <f>K15-K55</f>
        <v>0</v>
      </c>
      <c r="L57" s="122">
        <f>L15-L55</f>
        <v>-114195.68883999996</v>
      </c>
      <c r="M57" s="122">
        <f>M15-M55</f>
        <v>0</v>
      </c>
      <c r="N57" s="122">
        <f>N15-N55</f>
        <v>0</v>
      </c>
      <c r="O57" s="16" t="n"/>
    </row>
    <row r="58" ht="24" customHeight="1" s="109">
      <c r="A58" s="24" t="inlineStr">
        <is>
          <t>CLOSING BANK BALANCE</t>
        </is>
      </c>
      <c r="B58" s="125">
        <f>B10+B57</f>
        <v>198149.52999999994</v>
      </c>
      <c r="C58" s="125">
        <f>C10+C57</f>
        <v>439930.67999999993</v>
      </c>
      <c r="D58" s="125">
        <f>D10+D57</f>
        <v>416895.69999999995</v>
      </c>
      <c r="E58" s="125" t="str">
        <f>IF(E$8=1,E10+E57,"")</f>
        <v/>
      </c>
      <c r="F58" s="125">
        <f>F10+F57</f>
        <v>576615.9066666666</v>
      </c>
      <c r="G58" s="125" t="str">
        <f>IF(G$8=1,G10+G57,"")</f>
        <v/>
      </c>
      <c r="H58" s="125">
        <f>H10+H57</f>
        <v>437719.9044933333</v>
      </c>
      <c r="I58" s="125" t="str">
        <f>IF(I$8=1,I10+I57,"")</f>
        <v/>
      </c>
      <c r="J58" s="125">
        <f>J10+J57</f>
        <v>470616.32115999993</v>
      </c>
      <c r="K58" s="125" t="str">
        <f>IF(K$8=1,K10+K57,"")</f>
        <v/>
      </c>
      <c r="L58" s="125">
        <f>J58</f>
        <v>470616.32115999993</v>
      </c>
      <c r="M58" s="125" t="str">
        <f>IF(K$8=1,K58,IF(I$8=1,I58,IF(G$8=1,G58,IF(E$8=1,E58,IF(C$8=1,C58,"")))))</f>
        <v/>
      </c>
      <c r="N58" s="26" t="n"/>
      <c r="O58" s="78" t="inlineStr">
        <is>
          <t>Opening + net. The Actual column fills in once the week's flag is 1, and the total column shows the latest completed week.</t>
        </is>
      </c>
    </row>
    <row r="59">
      <c r="A59" s="9" t="inlineStr">
        <is>
          <t>Actual bank balance per CommBiz (enter)</t>
        </is>
      </c>
      <c r="B59" s="10" t="n"/>
      <c r="C59" s="121" t="n"/>
      <c r="D59" s="10" t="n"/>
      <c r="E59" s="121" t="n"/>
      <c r="F59" s="10" t="n"/>
      <c r="G59" s="121" t="n"/>
      <c r="H59" s="10" t="n"/>
      <c r="I59" s="121" t="n"/>
      <c r="J59" s="10" t="n"/>
      <c r="K59" s="121" t="n"/>
      <c r="L59" s="12" t="n"/>
      <c r="M59" s="12" t="n"/>
      <c r="N59" s="12" t="n"/>
      <c r="O59" s="79" t="inlineStr">
        <is>
          <t>Type the real closing balance (cheque + savings) in at the end of each week. The opening balance on the Assumptions tab is an estimate off Xero - replace it with the 28 Oct CommBiz figure first.</t>
        </is>
      </c>
    </row>
    <row r="60">
      <c r="A60" s="9" t="inlineStr">
        <is>
          <t>Unexplained difference (actual closing less bank)</t>
        </is>
      </c>
      <c r="B60" s="10" t="n"/>
      <c r="C60" s="126">
        <f>C58-C59</f>
        <v>439930.67999999993</v>
      </c>
      <c r="D60" s="10" t="n"/>
      <c r="E60" s="126" t="str">
        <f>IF(E$8=1,E58-E59,"")</f>
        <v/>
      </c>
      <c r="F60" s="10" t="n"/>
      <c r="G60" s="126" t="str">
        <f>IF(G$8=1,G58-G59,"")</f>
        <v/>
      </c>
      <c r="H60" s="10" t="n"/>
      <c r="I60" s="126" t="str">
        <f>IF(I$8=1,I58-I59,"")</f>
        <v/>
      </c>
      <c r="J60" s="10" t="n"/>
      <c r="K60" s="126" t="str">
        <f>IF(K$8=1,K58-K59,"")</f>
        <v/>
      </c>
      <c r="L60" s="12" t="n"/>
      <c r="M60" s="12" t="n"/>
      <c r="N60" s="12" t="n"/>
      <c r="O60" s="76" t="inlineStr">
        <is>
          <t>Should be nil once everything's in. This is a sense check.</t>
        </is>
      </c>
    </row>
    <row r="61"/>
    <row r="62">
      <c r="A62" s="7" t="inlineStr">
        <is>
          <t>MEMO</t>
        </is>
      </c>
      <c r="B62" s="114" t="n"/>
      <c r="C62" s="114" t="n"/>
      <c r="D62" s="114" t="n"/>
      <c r="E62" s="114" t="n"/>
      <c r="F62" s="114" t="n"/>
      <c r="G62" s="114" t="n"/>
      <c r="H62" s="114" t="n"/>
      <c r="I62" s="114" t="n"/>
      <c r="J62" s="114" t="n"/>
      <c r="K62" s="114" t="n"/>
      <c r="L62" s="114" t="n"/>
      <c r="M62" s="114" t="n"/>
      <c r="N62" s="114" t="n"/>
      <c r="O62" s="114" t="n"/>
    </row>
    <row r="63">
      <c r="A63" s="18" t="inlineStr">
        <is>
          <t xml:space="preserve">   Cash needed in the cheque account on pay day (net + super + reimb.)</t>
        </is>
      </c>
      <c r="B63" s="120">
        <f>B19+B20+B23</f>
        <v>98610</v>
      </c>
      <c r="D63" s="120">
        <f>D19+D20+D23</f>
        <v>0</v>
      </c>
      <c r="F63" s="120">
        <f>F19+F20+F23</f>
        <v>98610</v>
      </c>
      <c r="H63" s="120">
        <f>H19+H20+H23</f>
        <v>0</v>
      </c>
      <c r="J63" s="120">
        <f>J19+J20+J23</f>
        <v>98610</v>
      </c>
      <c r="O63" s="108" t="n"/>
    </row>
    <row r="64">
      <c r="A64" s="18" t="inlineStr">
        <is>
          <t xml:space="preserve">   Closing balance as weeks of payroll cover</t>
        </is>
      </c>
      <c r="B64" s="127">
        <f>IF(Payroll!$I$5=0,0,B58/(Payroll!$I$5/2))</f>
        <v>4.018852651860865</v>
      </c>
      <c r="D64" s="127">
        <f>IF(Payroll!$I$5=0,0,D58/(Payroll!$I$5/2))</f>
        <v>8.455444681066828</v>
      </c>
      <c r="F64" s="127">
        <f>IF(Payroll!$I$5=0,0,F58/(Payroll!$I$5/2))</f>
        <v>11.694876922556873</v>
      </c>
      <c r="H64" s="127">
        <f>IF(Payroll!$I$5=0,0,H58/(Payroll!$I$5/2))</f>
        <v>8.87779950295778</v>
      </c>
      <c r="J64" s="127">
        <f>IF(Payroll!$I$5=0,0,J58/(Payroll!$I$5/2))</f>
        <v>9.545001950309297</v>
      </c>
      <c r="O64" s="108" t="n"/>
    </row>
    <row r="65">
      <c r="A65" s="18" t="inlineStr">
        <is>
          <t xml:space="preserve">   Receipts expected after 2 Dec (not in this forecast)</t>
        </is>
      </c>
      <c r="L65" s="120">
        <f>SUMIFS(Receivables!$F$5:$F$65,Receivables!$H$5:$H$65,"&gt;"&amp;Assumptions!$C$48)</f>
        <v>5141.71</v>
      </c>
      <c r="O65" s="80" t="inlineStr">
        <is>
          <t>Nov contract invoices (raised 30 Nov, paid Dec), Meet Magic, Jaaz.</t>
        </is>
      </c>
    </row>
    <row r="66">
      <c r="A66" s="18" t="inlineStr">
        <is>
          <t xml:space="preserve">   Payments held past 2 Dec (not in this forecast)</t>
        </is>
      </c>
      <c r="L66" s="120">
        <f>SUMIFS(Payables!$D$19:$D$95,Payables!$K$19:$K$95,"Yes",Payables!$E$19:$E$95,"&lt;&gt;Card",Payables!$G$19:$G$95,"&gt;"&amp;Assumptions!$C$48)</f>
        <v>6209.0599999999995</v>
      </c>
      <c r="O66" s="108" t="inlineStr">
        <is>
          <t>Posh Nov, Optus mobiles Nov, CEO Institute, AVIXA.</t>
        </is>
      </c>
    </row>
    <row r="67"/>
    <row r="68">
      <c r="A68" s="7" t="inlineStr">
        <is>
          <t>KEY RISKS &amp; THINGS TO CONFIRM</t>
        </is>
      </c>
      <c r="B68" s="114" t="n"/>
      <c r="C68" s="114" t="n"/>
      <c r="D68" s="114" t="n"/>
      <c r="E68" s="114" t="n"/>
      <c r="F68" s="114" t="n"/>
      <c r="G68" s="114" t="n"/>
      <c r="H68" s="114" t="n"/>
      <c r="I68" s="114" t="n"/>
      <c r="J68" s="114" t="n"/>
      <c r="K68" s="114" t="n"/>
      <c r="L68" s="114" t="n"/>
      <c r="M68" s="114" t="n"/>
      <c r="N68" s="114" t="n"/>
      <c r="O68" s="114" t="n"/>
    </row>
    <row r="69" ht="15.75" customHeight="1" s="109">
      <c r="A69" s="110" t="inlineStr">
        <is>
          <t>1. Tax is the big block this month - Oct payroll tax $8.6k on 6 Nov, the Oct IAS ~$45k on 20 Nov and the Q1 BAS ~$96k on 25 Nov. That is ~$150k out in weeks 2 to 4. The BAS did not go on 28 Oct, so confirm when it is actually due and the GST figure off the activity statement.</t>
        </is>
      </c>
    </row>
    <row r="70" ht="15.75" customHeight="1" s="109">
      <c r="A70" s="110" t="inlineStr">
        <is>
          <t>2. CBA Place South $118,250 (INV-10677, production kit, due 15 Nov) is the biggest receipt. CBA have been paying in about 15 days, so I have it Fri 6 Nov. If it slips to the due date it moves to week 3 - still in the forecast, but week 2 would dip.</t>
        </is>
      </c>
    </row>
    <row r="71" ht="15.75" customHeight="1" s="109">
      <c r="A71" s="110" t="inlineStr">
        <is>
          <t>3. Overdue debtors: Downer $39,664, Ventia $36,677, Microsoft $13,846, Gen-e $11,850 and ON24 $3,006 - about $105k, all a month or more old. I have them landing in weeks 3 and 4. If none of it comes, closing is ~$105k lower. Chase this week.</t>
        </is>
      </c>
    </row>
    <row r="72" ht="15.75" customHeight="1" s="109">
      <c r="A72" s="110" t="inlineStr">
        <is>
          <t>4. Creditors run Mon 2 Nov is ~$131k including Brookvale $66k and Appspace $19k, plus Nov rent $29k and the 3 Nov pay run ~$98k in the same week. Week 1 is the tightest week - make sure the CBA / Deloitte money is in before the run if the balance looks thin.</t>
        </is>
      </c>
    </row>
  </sheetData>
  <mergeCells count="16">
    <mergeCell ref="A69:O69"/>
    <mergeCell ref="D6:E6"/>
    <mergeCell ref="B6:C6"/>
    <mergeCell ref="H6:I6"/>
    <mergeCell ref="A72:O72"/>
    <mergeCell ref="J5:K5"/>
    <mergeCell ref="J6:K6"/>
    <mergeCell ref="B5:C5"/>
    <mergeCell ref="A71:O71"/>
    <mergeCell ref="F5:G5"/>
    <mergeCell ref="D5:E5"/>
    <mergeCell ref="H5:I5"/>
    <mergeCell ref="F6:G6"/>
    <mergeCell ref="L5:M5"/>
    <mergeCell ref="A70:O70"/>
    <mergeCell ref="A3:O3"/>
  </mergeCells>
  <pageMargins left="0.75" right="0.75" top="1" bottom="1" header="0.5" footer="0.5"/>
  <pageSetup orientation="landscape"/>
</worksheet>
</file>

<file path=xl/worksheets/sheet2.xml><?xml version="1.0" encoding="utf-8"?>
<worksheet xmlns="http://schemas.openxmlformats.org/spreadsheetml/2006/main">
  <sheetPr>
    <outlinePr summaryBelow="1" summaryRight="1"/>
    <pageSetUpPr fitToPage="1"/>
  </sheetPr>
  <dimension ref="A1:C51"/>
  <sheetViews>
    <sheetView topLeftCell="A6" workbookViewId="0">
      <selection activeCell="A1" sqref="A1"/>
    </sheetView>
  </sheetViews>
  <sheetFormatPr baseColWidth="8" defaultRowHeight="15"/>
  <cols>
    <col width="54" customWidth="1" style="109" min="1" max="1"/>
    <col width="16" customWidth="1" style="109" min="2" max="2"/>
    <col width="100" customWidth="1" style="109" min="3" max="3"/>
  </cols>
  <sheetData>
    <row r="1" ht="18" customHeight="1" s="109">
      <c r="A1" s="1" t="inlineStr">
        <is>
          <t>CTS Cash Flow Forecast - Assumptions &amp; Inputs</t>
        </is>
      </c>
    </row>
    <row r="2">
      <c r="A2" s="29" t="inlineStr">
        <is>
          <t>Blue = change it if you need to. Black = formula, leave it alone. Bright yellow = the ones I still want to double check. Everything is GST inclusive because that's what actually hits the bank.</t>
        </is>
      </c>
    </row>
    <row r="4">
      <c r="A4" s="7" t="inlineStr">
        <is>
          <t>TIMING &amp; OPENING POSITION</t>
        </is>
      </c>
      <c r="B4" s="114" t="n"/>
      <c r="C4" s="114" t="n"/>
    </row>
    <row r="5" ht="24" customHeight="1" s="109">
      <c r="A5" s="18" t="inlineStr">
        <is>
          <t>Forecast start</t>
        </is>
      </c>
      <c r="B5" s="128" t="n">
        <v>46324</v>
      </c>
      <c r="C5" s="115" t="inlineStr">
        <is>
          <t>Thu 29 Oct. Five weeks of Thu to Wed, running on from the last forecast (its week 5 is this week 1). Week table is at the bottom of this tab.</t>
        </is>
      </c>
    </row>
    <row r="6" ht="24" customHeight="1" s="109">
      <c r="A6" s="18" t="inlineStr">
        <is>
          <t>Opening bank balance - cheque + savings</t>
        </is>
      </c>
      <c r="B6" s="129">
        <f>896676.95-456746.27</f>
        <v>439930.67999999993</v>
      </c>
      <c r="C6" s="115" t="inlineStr">
        <is>
          <t>Estimate - Xero total cash at Wed 28 Oct ($896,677) less the other accounts ($456,746, the gap on 5 Oct when cheque + savings was $358,696). Replace with the CommBiz cheque + savings balance at 28 Oct.</t>
        </is>
      </c>
    </row>
    <row r="7">
      <c r="A7" s="18" t="inlineStr">
        <is>
          <t>Number of weeks</t>
        </is>
      </c>
      <c r="B7" s="33" t="n">
        <v>5</v>
      </c>
      <c r="C7" s="115" t="inlineStr">
        <is>
          <t>Each week has a Forecast and an Actual column on the Cash Flow tab.</t>
        </is>
      </c>
    </row>
    <row r="8">
      <c r="A8" s="7" t="inlineStr">
        <is>
          <t>PAYROLL (fortnightly, Sat to Fri, paid the Tuesday after the fortnight ends)</t>
        </is>
      </c>
      <c r="B8" s="114" t="n"/>
      <c r="C8" s="114" t="n"/>
    </row>
    <row r="9" ht="24" customHeight="1" s="109">
      <c r="A9" s="18" t="inlineStr">
        <is>
          <t>Gross wages per fortnight</t>
        </is>
      </c>
      <c r="B9" s="130" t="n">
        <v>107500</v>
      </c>
      <c r="C9" s="115" t="inlineStr">
        <is>
          <t>Average of the last four fortnights: the two Sep runs $217,062, 6 Oct $101,246 and 20 Oct $111,704 (Xero cash P&amp;L). Detail on the Payroll tab.</t>
        </is>
      </c>
    </row>
    <row r="10">
      <c r="A10" s="18" t="inlineStr">
        <is>
          <t>Net pay as % of gross</t>
        </is>
      </c>
      <c r="B10" s="131" t="n">
        <v>0.788</v>
      </c>
      <c r="C10" s="115" t="inlineStr">
        <is>
          <t>6 Oct run: $101,246 gross, about $79,736 left the bank = 78.8%. Was 76.8% on the 25 Aug ABA. Swap in the ABA figure when you have it.</t>
        </is>
      </c>
    </row>
    <row r="11">
      <c r="A11" s="18" t="inlineStr">
        <is>
          <t>PAYG withheld as % of gross</t>
        </is>
      </c>
      <c r="B11" s="132">
        <f>1-B10</f>
        <v>0.21199999999999997</v>
      </c>
      <c r="C11" s="115" t="inlineStr">
        <is>
          <t>1 less net %. Goes to the ATO with the IAS/BAS, not on pay day.</t>
        </is>
      </c>
    </row>
    <row r="12" ht="24" customHeight="1" s="109">
      <c r="A12" s="18" t="inlineStr">
        <is>
          <t>Superannuation as % of gross</t>
        </is>
      </c>
      <c r="B12" s="131" t="n">
        <v>0.12</v>
      </c>
      <c r="C12" s="115" t="inlineStr">
        <is>
          <t>SG is 12%. 25 Aug: $13,677 SG on $115,340 gross. Sal sac super (~$1k a run) goes out in the same super batch but comes off gross, so it's not added on here.</t>
        </is>
      </c>
    </row>
    <row r="13" ht="24" customHeight="1" s="109">
      <c r="A13" s="18" t="inlineStr">
        <is>
          <t>Employee reimbursements per pay run (expense claims)</t>
        </is>
      </c>
      <c r="B13" s="133" t="n">
        <v>1000</v>
      </c>
      <c r="C13" s="115" t="inlineStr">
        <is>
          <t>Placeholder - I can't see expense claims in Xero. Per diems ($75 a night) go through payroll so they're already in net pay. Put the usual expense claim amount in here.</t>
        </is>
      </c>
    </row>
    <row r="14" ht="24" customHeight="1" s="109">
      <c r="A14" s="18" t="inlineStr">
        <is>
          <t>Pay date - run 1 (fortnight Sat 17 Oct to Fri 30 Oct)</t>
        </is>
      </c>
      <c r="B14" s="128" t="n">
        <v>46329</v>
      </c>
      <c r="C14" s="115" t="inlineStr">
        <is>
          <t>Tue 3 Nov (week 1). Super direct debits the day after.</t>
        </is>
      </c>
    </row>
    <row r="15">
      <c r="A15" s="18" t="inlineStr">
        <is>
          <t>Pay date - run 2 (fortnight Sat 31 Oct to Fri 13 Nov)</t>
        </is>
      </c>
      <c r="B15" s="128" t="n">
        <v>46343</v>
      </c>
      <c r="C15" s="115" t="inlineStr">
        <is>
          <t>Tue 17 Nov (week 3).</t>
        </is>
      </c>
    </row>
    <row r="16">
      <c r="A16" s="18" t="inlineStr">
        <is>
          <t>Pay date - run 3 (fortnight Sat 14 Nov to Fri 27 Nov)</t>
        </is>
      </c>
      <c r="B16" s="128" t="n">
        <v>46357</v>
      </c>
      <c r="C16" s="115" t="inlineStr">
        <is>
          <t>Tue 1 Dec (week 5).</t>
        </is>
      </c>
    </row>
    <row r="17" ht="24" customHeight="1" s="109">
      <c r="A17" s="18" t="inlineStr">
        <is>
          <t>Payroll tax NSW - October return (due 7 Nov)</t>
        </is>
      </c>
      <c r="B17" s="133" t="n">
        <v>5902.75</v>
      </c>
      <c r="C17" s="115" t="inlineStr">
        <is>
          <t>Sep return was $8,602.75 all up, paid 7 Oct. I've used the same total. The NSW / other split is assumed - I can't see it in Xero.</t>
        </is>
      </c>
    </row>
    <row r="18">
      <c r="A18" s="18" t="inlineStr">
        <is>
          <t>Payroll tax other states - October (due 7 Nov)</t>
        </is>
      </c>
      <c r="B18" s="133" t="n">
        <v>2700</v>
      </c>
      <c r="C18" s="115" t="inlineStr">
        <is>
          <t>Assumed, see above.</t>
        </is>
      </c>
    </row>
    <row r="19">
      <c r="A19" s="18" t="inlineStr">
        <is>
          <t>Payroll tax payment date</t>
        </is>
      </c>
      <c r="B19" s="128" t="n">
        <v>46332</v>
      </c>
      <c r="C19" s="115" t="inlineStr">
        <is>
          <t>7 Nov is a Saturday, so Fri 6 Nov (week 2).</t>
        </is>
      </c>
    </row>
    <row r="20">
      <c r="A20" s="7" t="inlineStr">
        <is>
          <t>BAS / PAYG WITHHOLDING</t>
        </is>
      </c>
      <c r="B20" s="114" t="n"/>
      <c r="C20" s="114" t="n"/>
    </row>
    <row r="21">
      <c r="A21" s="18" t="inlineStr">
        <is>
          <t>Q1 BAS paid inside this forecast? (1 = yes, 0 = no)</t>
        </is>
      </c>
      <c r="B21" s="38" t="n">
        <v>1</v>
      </c>
      <c r="C21" s="115" t="inlineStr">
        <is>
          <t>It did not go out on 28 Oct (Xero bank is flat 28 to 29 Oct), so I've assumed it goes through the agent and is paid 25 Nov (week 4). Change the date in B25 if it goes earlier, or set this to 0.</t>
        </is>
      </c>
    </row>
    <row r="22">
      <c r="A22" s="18" t="inlineStr">
        <is>
          <t>Sep PAYG withholding (goes on the Q1 BAS)</t>
        </is>
      </c>
      <c r="B22" s="120">
        <f>B11*217062</f>
        <v>46017.14399999999</v>
      </c>
      <c r="C22" s="115" t="inlineStr">
        <is>
          <t>PAYG % x Sep gross $217,062 (Xero cash P&amp;L). Jul and Aug went on the IAS, Sep goes on the Q1 BAS.</t>
        </is>
      </c>
    </row>
    <row r="23">
      <c r="A23" s="18" t="inlineStr">
        <is>
          <t>Net GST payable for Sep quarter - ESTIMATE</t>
        </is>
      </c>
      <c r="B23" s="133" t="n">
        <v>50000</v>
      </c>
      <c r="C23" s="115" t="inlineStr">
        <is>
          <t>Rough guess - GST on ~$1.5m in, less GST on ~$1.0m out. Replace with the activity statement figure from Xero.</t>
        </is>
      </c>
    </row>
    <row r="24">
      <c r="A24" s="18" t="inlineStr">
        <is>
          <t>PAYG income-tax instalment for Sep quarter</t>
        </is>
      </c>
      <c r="B24" s="130" t="n">
        <v>0</v>
      </c>
      <c r="C24" s="115" t="inlineStr">
        <is>
          <t>Can't see this in Xero. Put the ATO instalment in here if there is one.</t>
        </is>
      </c>
    </row>
    <row r="25">
      <c r="A25" s="18" t="inlineStr">
        <is>
          <t>BAS payment date</t>
        </is>
      </c>
      <c r="B25" s="128" t="n">
        <v>46351</v>
      </c>
      <c r="C25" s="115" t="inlineStr">
        <is>
          <t>Wed 25 Nov - agent lodgement date.</t>
        </is>
      </c>
    </row>
    <row r="26">
      <c r="A26" s="7" t="inlineStr">
        <is>
          <t>COSTS NOT BILLED YET - MONTHLY ESTIMATES (spread over the 5 weeks)</t>
        </is>
      </c>
      <c r="B26" s="114" t="n"/>
      <c r="C26" s="114" t="n"/>
    </row>
    <row r="27">
      <c r="A27" s="18" t="inlineStr">
        <is>
          <t>Sub-contract labour</t>
        </is>
      </c>
      <c r="B27" s="133" t="n">
        <v>40000</v>
      </c>
      <c r="C27" s="115" t="inlineStr">
        <is>
          <t>Sep cash P&amp;L: Integration $31,990 + PRD $7,154. Oct work that gets billed and paid inside the month.</t>
        </is>
      </c>
    </row>
    <row r="28">
      <c r="A28" s="18" t="inlineStr">
        <is>
          <t>Equipment &amp; service hires</t>
        </is>
      </c>
      <c r="B28" s="133" t="n">
        <v>30000</v>
      </c>
      <c r="C28" s="115" t="inlineStr">
        <is>
          <t>Sep cash P&amp;L: service hires $17,344 + equipment hires $11,427.</t>
        </is>
      </c>
    </row>
    <row r="29" ht="24" customHeight="1" s="109">
      <c r="A29" s="18" t="inlineStr">
        <is>
          <t>Project equipment purchases (not yet billed)</t>
        </is>
      </c>
      <c r="B29" s="133" t="n">
        <v>20000</v>
      </c>
      <c r="C29" s="115" t="inlineStr">
        <is>
          <t>On top of the Complete AV / Crestron / Fredon bills already listed. Oct is a big Production month in the budget ($587k income) so this could easily be higher.</t>
        </is>
      </c>
    </row>
    <row r="30">
      <c r="A30" s="18" t="inlineStr">
        <is>
          <t>Direct travel &amp; freight (client jobs)</t>
        </is>
      </c>
      <c r="B30" s="130" t="n">
        <v>7000</v>
      </c>
      <c r="C30" s="115" t="inlineStr">
        <is>
          <t>Sep: ONS travel $4,120 + PRD $1,572 + ~$1,300 freight.</t>
        </is>
      </c>
    </row>
    <row r="31">
      <c r="A31" s="18" t="inlineStr">
        <is>
          <t>Client subscriptions &amp; licences (not yet billed)</t>
        </is>
      </c>
      <c r="B31" s="130" t="n">
        <v>3000</v>
      </c>
      <c r="C31" s="115" t="inlineStr">
        <is>
          <t>Sep: $3,573 outside the Appspace / Spacera / Eptura bills.</t>
        </is>
      </c>
    </row>
    <row r="32">
      <c r="A32" s="18" t="inlineStr">
        <is>
          <t>Recruitment (Seek, LinkedIn, agency)</t>
        </is>
      </c>
      <c r="B32" s="130" t="n">
        <v>5000</v>
      </c>
      <c r="C32" s="115" t="inlineStr">
        <is>
          <t>Sep was $11,742 with the casual concierge campaign. I've assumed half that.</t>
        </is>
      </c>
    </row>
    <row r="33">
      <c r="A33" s="18" t="inlineStr">
        <is>
          <t>Accounting, legal &amp; advisory (beyond the 8020 retainer)</t>
        </is>
      </c>
      <c r="B33" s="130" t="n">
        <v>4000</v>
      </c>
      <c r="C33" s="115" t="inlineStr">
        <is>
          <t>Jun-Aug: accounting $7,733 + legal $2,900 over 3 months.</t>
        </is>
      </c>
    </row>
    <row r="34">
      <c r="A34" s="18" t="inlineStr">
        <is>
          <t>Insurance</t>
        </is>
      </c>
      <c r="B34" s="130" t="n">
        <v>0</v>
      </c>
      <c r="C34" s="115" t="inlineStr">
        <is>
          <t>Was $3k a month as an estimate. The annual Brookvale renewals ($66,239, due 14 Oct) are now on the Payables tab under Insurance, so this is nil - put a number back in if something else comes up (icare, Asteron is quarterly and was paid 25 Sep).</t>
        </is>
      </c>
    </row>
    <row r="35">
      <c r="A35" s="18" t="inlineStr">
        <is>
          <t>Office, amenities &amp; entertainment</t>
        </is>
      </c>
      <c r="B35" s="130" t="n">
        <v>2000</v>
      </c>
      <c r="C35" s="115" t="inlineStr">
        <is>
          <t>Jun-Aug ran ~$4k a month across amenities, supplies and staff entertainment. Sep was lower.</t>
        </is>
      </c>
    </row>
    <row r="36">
      <c r="A36" s="18" t="inlineStr">
        <is>
          <t>Bank &amp; merchant fees</t>
        </is>
      </c>
      <c r="B36" s="130" t="n">
        <v>1000</v>
      </c>
      <c r="C36" s="115" t="inlineStr">
        <is>
          <t>Sep: bank charges $2,311 + Stripe $271, but Sep had a one-off in it.</t>
        </is>
      </c>
    </row>
    <row r="37" ht="24" customHeight="1" s="109">
      <c r="A37" s="18" t="inlineStr">
        <is>
          <t>Credit card settlements per month (PL + DL cards)</t>
        </is>
      </c>
      <c r="B37" s="130" t="n">
        <v>25000</v>
      </c>
      <c r="C37" s="115" t="inlineStr">
        <is>
          <t>Sep transfers to the cards: $15,000 + $4,224.75 (PL) + $5,718.88 (DL) = $24,944. Covers every bill marked paid via CC - those are left out of the Payables totals so nothing gets counted twice.</t>
        </is>
      </c>
    </row>
    <row r="38">
      <c r="A38" s="7" t="inlineStr">
        <is>
          <t>RECEIPTS - ESTIMATES</t>
        </is>
      </c>
      <c r="B38" s="114" t="n"/>
      <c r="C38" s="114" t="n"/>
    </row>
    <row r="39" ht="24" customHeight="1" s="109">
      <c r="A39" s="18" t="inlineStr">
        <is>
          <t>Invoices raised and collected inside the 5 weeks (not listed)</t>
        </is>
      </c>
      <c r="B39" s="130" t="n">
        <v>20000</v>
      </c>
      <c r="C39" s="115" t="inlineStr">
        <is>
          <t>Not used in the formulas - the Receivables tab lists everything. Left for reference.</t>
        </is>
      </c>
    </row>
    <row r="40">
      <c r="A40" s="18" t="inlineStr">
        <is>
          <t>Interest received on savings</t>
        </is>
      </c>
      <c r="B40" s="130" t="n">
        <v>600</v>
      </c>
      <c r="C40" s="115" t="inlineStr">
        <is>
          <t>Sep was $648.92, Oct $430.17. Lands at month end - 30 Oct (week 1) and 30 Nov (week 5).</t>
        </is>
      </c>
    </row>
    <row r="42">
      <c r="A42" s="7" t="inlineStr">
        <is>
          <t>WEEK TABLE (calculated)</t>
        </is>
      </c>
      <c r="B42" s="114" t="n"/>
      <c r="C42" s="114" t="n"/>
    </row>
    <row r="43">
      <c r="A43" s="9" t="inlineStr">
        <is>
          <t>Week</t>
        </is>
      </c>
      <c r="B43" s="9" t="inlineStr">
        <is>
          <t>Start</t>
        </is>
      </c>
      <c r="C43" s="9" t="inlineStr">
        <is>
          <t>End</t>
        </is>
      </c>
    </row>
    <row r="44">
      <c r="A44" s="18" t="n">
        <v>1</v>
      </c>
      <c r="B44" s="134">
        <f>Assumptions!$B$5</f>
        <v>46324</v>
      </c>
      <c r="C44" s="134">
        <f>B44+6</f>
        <v>46330</v>
      </c>
    </row>
    <row r="45">
      <c r="A45" s="18" t="n">
        <v>2</v>
      </c>
      <c r="B45" s="134">
        <f>C44+1</f>
        <v>46331</v>
      </c>
      <c r="C45" s="134">
        <f>B45+6</f>
        <v>46337</v>
      </c>
    </row>
    <row r="46">
      <c r="A46" s="18" t="n">
        <v>3</v>
      </c>
      <c r="B46" s="134">
        <f>C45+1</f>
        <v>46338</v>
      </c>
      <c r="C46" s="134">
        <f>B46+6</f>
        <v>46344</v>
      </c>
    </row>
    <row r="47">
      <c r="A47" s="18" t="n">
        <v>4</v>
      </c>
      <c r="B47" s="134">
        <f>C46+1</f>
        <v>46345</v>
      </c>
      <c r="C47" s="134">
        <f>B47+6</f>
        <v>46351</v>
      </c>
    </row>
    <row r="48">
      <c r="A48" s="18" t="n">
        <v>5</v>
      </c>
      <c r="B48" s="134">
        <f>C47+1</f>
        <v>46352</v>
      </c>
      <c r="C48" s="134">
        <f>B48+6</f>
        <v>46358</v>
      </c>
    </row>
    <row r="50">
      <c r="A50" s="18" t="inlineStr">
        <is>
          <t>October PAYG withholding - monthly IAS</t>
        </is>
      </c>
      <c r="B50" s="130">
        <f>B11*(101245.94+111704.13)</f>
        <v>45145.41484</v>
      </c>
      <c r="C50" s="115" t="inlineStr">
        <is>
          <t>PAYG % x the two Oct runs ($212,950 gross, Xero cash P&amp;L). Jul and Aug were paid 21 Aug and 21 Sep on the IAS.</t>
        </is>
      </c>
    </row>
    <row r="51">
      <c r="A51" s="18" t="inlineStr">
        <is>
          <t>IAS payment date</t>
        </is>
      </c>
      <c r="B51" s="128" t="n">
        <v>46346</v>
      </c>
      <c r="C51" s="115" t="inlineStr">
        <is>
          <t>21 Nov is a Saturday, so Fri 20 Nov (week 4).</t>
        </is>
      </c>
    </row>
  </sheetData>
  <pageMargins left="0.75" right="0.75" top="1" bottom="1" header="0.5" footer="0.5"/>
  <pageSetup orientation="landscape"/>
</worksheet>
</file>

<file path=xl/worksheets/sheet3.xml><?xml version="1.0" encoding="utf-8"?>
<worksheet xmlns="http://schemas.openxmlformats.org/spreadsheetml/2006/main">
  <sheetPr>
    <outlinePr summaryBelow="1" summaryRight="1"/>
    <pageSetUpPr fitToPage="1"/>
  </sheetPr>
  <dimension ref="A1:J31"/>
  <sheetViews>
    <sheetView workbookViewId="0">
      <selection activeCell="A1" sqref="A1"/>
    </sheetView>
  </sheetViews>
  <sheetFormatPr baseColWidth="8" defaultRowHeight="15"/>
  <cols>
    <col width="34" customWidth="1" style="109" min="1" max="1"/>
    <col width="16" customWidth="1" style="109" min="2" max="3"/>
    <col width="14" customWidth="1" style="109" min="4" max="8"/>
    <col width="16" customWidth="1" style="109" min="9" max="9"/>
    <col width="60" customWidth="1" style="109" min="10" max="10"/>
  </cols>
  <sheetData>
    <row r="1" ht="18" customHeight="1" s="109">
      <c r="A1" s="1" t="inlineStr">
        <is>
          <t>Payroll schedule - October 2026</t>
        </is>
      </c>
    </row>
    <row r="2">
      <c r="A2" s="29" t="inlineStr">
        <is>
          <t>Fortnightly, Saturday to Friday. The money only goes out of the bank on the Tuesday after the fortnight ends. Super direct debits the same week. PAYG goes later with the IAS/BAS.</t>
        </is>
      </c>
    </row>
    <row r="4" ht="30" customHeight="1" s="109">
      <c r="A4" s="113" t="inlineStr">
        <is>
          <t>Pay run</t>
        </is>
      </c>
      <c r="B4" s="113" t="inlineStr">
        <is>
          <t>Fortnight ending (Fri)</t>
        </is>
      </c>
      <c r="C4" s="113" t="inlineStr">
        <is>
          <t>Pay date</t>
        </is>
      </c>
      <c r="D4" s="113" t="inlineStr">
        <is>
          <t>Gross wages</t>
        </is>
      </c>
      <c r="E4" s="113" t="inlineStr">
        <is>
          <t>Net pay (ABA file)</t>
        </is>
      </c>
      <c r="F4" s="113" t="inlineStr">
        <is>
          <t>PAYG withheld</t>
        </is>
      </c>
      <c r="G4" s="113" t="inlineStr">
        <is>
          <t>Super (direct debit)</t>
        </is>
      </c>
      <c r="H4" s="113" t="inlineStr">
        <is>
          <t>Reimbursements</t>
        </is>
      </c>
      <c r="I4" s="113" t="inlineStr">
        <is>
          <t>Cash out on payday (net + super + reimb.)</t>
        </is>
      </c>
      <c r="J4" s="113" t="inlineStr">
        <is>
          <t>Notes</t>
        </is>
      </c>
    </row>
    <row r="5" ht="48" customHeight="1" s="109">
      <c r="A5" s="18" t="inlineStr">
        <is>
          <t>Run 1 - Sat 17 Oct to Fri 30 Oct</t>
        </is>
      </c>
      <c r="B5" s="128" t="n">
        <v>46325</v>
      </c>
      <c r="C5" s="135">
        <f>Assumptions!$B$14</f>
        <v>46329</v>
      </c>
      <c r="D5" s="136">
        <f>Assumptions!$B$9</f>
        <v>107500</v>
      </c>
      <c r="E5" s="120">
        <f>D5*Assumptions!$B$10</f>
        <v>84710</v>
      </c>
      <c r="F5" s="120">
        <f>D5*Assumptions!$B$11</f>
        <v>22789.999999999996</v>
      </c>
      <c r="G5" s="120">
        <f>D5*Assumptions!$B$12</f>
        <v>12900</v>
      </c>
      <c r="H5" s="136">
        <f>Assumptions!$B$13</f>
        <v>1000</v>
      </c>
      <c r="I5" s="120">
        <f>E5+G5+H5</f>
        <v>98610</v>
      </c>
      <c r="J5" s="115" t="inlineStr">
        <is>
          <t>Timesheets close Fri 30 Oct, processed Mon 2 Nov, out of the bank Tue 3 Nov. Last run of the month - accrue bonus leave (Checklist step 48).</t>
        </is>
      </c>
    </row>
    <row r="6" ht="24" customHeight="1" s="109">
      <c r="A6" s="18" t="inlineStr">
        <is>
          <t>Run 2 - Sat 31 Oct to Fri 13 Nov</t>
        </is>
      </c>
      <c r="B6" s="128" t="n">
        <v>46339</v>
      </c>
      <c r="C6" s="135">
        <f>Assumptions!$B$15</f>
        <v>46343</v>
      </c>
      <c r="D6" s="136">
        <f>Assumptions!$B$9</f>
        <v>107500</v>
      </c>
      <c r="E6" s="120">
        <f>D6*Assumptions!$B$10</f>
        <v>84710</v>
      </c>
      <c r="F6" s="120">
        <f>D6*Assumptions!$B$11</f>
        <v>22789.999999999996</v>
      </c>
      <c r="G6" s="120">
        <f>D6*Assumptions!$B$12</f>
        <v>12900</v>
      </c>
      <c r="H6" s="136">
        <f>Assumptions!$B$13</f>
        <v>1000</v>
      </c>
      <c r="I6" s="120">
        <f>E6+G6+H6</f>
        <v>98610</v>
      </c>
      <c r="J6" s="115" t="inlineStr">
        <is>
          <t>Paid Tue 17 Nov.</t>
        </is>
      </c>
    </row>
    <row r="7">
      <c r="A7" s="18" t="inlineStr">
        <is>
          <t>Run 3 - Sat 14 Nov to Fri 27 Nov</t>
        </is>
      </c>
      <c r="B7" s="128" t="n">
        <v>46353</v>
      </c>
      <c r="C7" s="135">
        <f>Assumptions!$B$16</f>
        <v>46357</v>
      </c>
      <c r="D7" s="136">
        <f>Assumptions!$B$9</f>
        <v>107500</v>
      </c>
      <c r="E7" s="120">
        <f>D7*Assumptions!$B$10</f>
        <v>84710</v>
      </c>
      <c r="F7" s="120">
        <f>D7*Assumptions!$B$11</f>
        <v>22789.999999999996</v>
      </c>
      <c r="G7" s="120">
        <f>D7*Assumptions!$B$12</f>
        <v>12900</v>
      </c>
      <c r="H7" s="136">
        <f>Assumptions!$B$13</f>
        <v>1000</v>
      </c>
      <c r="I7" s="120">
        <f>E7+G7+H7</f>
        <v>98610</v>
      </c>
      <c r="J7" s="115" t="inlineStr">
        <is>
          <t>Paid Tue 1 Dec. Last run of November - accrue bonus leave again.</t>
        </is>
      </c>
    </row>
    <row r="8">
      <c r="A8" s="13" t="inlineStr">
        <is>
          <t>Total pay runs listed</t>
        </is>
      </c>
      <c r="B8" s="16" t="n"/>
      <c r="C8" s="16" t="n"/>
      <c r="D8" s="119">
        <f>SUM(D5:D7)</f>
        <v>322500</v>
      </c>
      <c r="E8" s="119">
        <f>SUM(E5:E7)</f>
        <v>254130</v>
      </c>
      <c r="F8" s="119">
        <f>SUM(F5:F7)</f>
        <v>68369.99999999999</v>
      </c>
      <c r="G8" s="119">
        <f>SUM(G5:G7)</f>
        <v>38700</v>
      </c>
      <c r="H8" s="119">
        <f>SUM(H5:H7)</f>
        <v>3000</v>
      </c>
      <c r="I8" s="119">
        <f>SUM(I5:I7)</f>
        <v>295830</v>
      </c>
      <c r="J8" s="16" t="n"/>
    </row>
    <row r="9">
      <c r="A9" s="2" t="inlineStr">
        <is>
          <t>Payroll tax for October wages (paid November)</t>
        </is>
      </c>
    </row>
    <row r="10">
      <c r="A10" s="18" t="inlineStr">
        <is>
          <t>NSW - due 7 Nov (paid Fri 6 Nov)</t>
        </is>
      </c>
      <c r="B10" s="136">
        <f>Assumptions!$B$17</f>
        <v>5902.75</v>
      </c>
      <c r="C10" s="135">
        <f>Assumptions!$B$19</f>
        <v>46332</v>
      </c>
    </row>
    <row r="11">
      <c r="A11" s="18" t="inlineStr">
        <is>
          <t>Other states - due 7 Nov (paid Fri 6 Nov)</t>
        </is>
      </c>
      <c r="B11" s="136">
        <f>Assumptions!$B$18</f>
        <v>2700</v>
      </c>
      <c r="C11" s="135">
        <f>Assumptions!$B$19</f>
        <v>46332</v>
      </c>
    </row>
    <row r="12">
      <c r="A12" s="13" t="inlineStr">
        <is>
          <t>Total payroll tax</t>
        </is>
      </c>
      <c r="B12" s="119">
        <f>B10+B11</f>
        <v>8602.75</v>
      </c>
      <c r="C12" s="16" t="n"/>
    </row>
    <row r="13">
      <c r="A13" s="29" t="inlineStr">
        <is>
          <t>Payroll tax on Nov wages is due 7 Dec - after this forecast.</t>
        </is>
      </c>
    </row>
    <row r="15">
      <c r="A15" s="2" t="inlineStr">
        <is>
          <t>Reference - actual pay runs this financial year</t>
        </is>
      </c>
    </row>
    <row r="16" ht="30" customHeight="1" s="109">
      <c r="A16" s="113" t="inlineStr">
        <is>
          <t>Pay run</t>
        </is>
      </c>
      <c r="B16" s="113" t="inlineStr">
        <is>
          <t>Journal date</t>
        </is>
      </c>
      <c r="C16" s="113" t="inlineStr">
        <is>
          <t>Gross wages</t>
        </is>
      </c>
      <c r="D16" s="113" t="inlineStr">
        <is>
          <t>Super batch (SG + salary sacrifice)</t>
        </is>
      </c>
      <c r="E16" s="113" t="inlineStr">
        <is>
          <t>Batch % of gross</t>
        </is>
      </c>
      <c r="F16" s="113" t="inlineStr">
        <is>
          <t>Source</t>
        </is>
      </c>
    </row>
    <row r="17">
      <c r="A17" s="18" t="inlineStr">
        <is>
          <t>FE 10 Jul</t>
        </is>
      </c>
      <c r="B17" s="128" t="n">
        <v>46217</v>
      </c>
      <c r="C17" s="130" t="n">
        <v>104335.03</v>
      </c>
      <c r="D17" s="130" t="n">
        <v>13289.41</v>
      </c>
      <c r="E17" s="132">
        <f>IF(C17=0,0,D17/C17)</f>
        <v>0.12737246541262318</v>
      </c>
      <c r="F17" s="29" t="inlineStr">
        <is>
          <t>Controller Pack GL_Paste journals #69527 / #69434</t>
        </is>
      </c>
    </row>
    <row r="18">
      <c r="A18" s="18" t="inlineStr">
        <is>
          <t>FE 24 Jul</t>
        </is>
      </c>
      <c r="B18" s="128" t="n">
        <v>46231</v>
      </c>
      <c r="C18" s="130" t="n">
        <v>101030.18</v>
      </c>
      <c r="D18" s="130" t="n">
        <v>13068.87</v>
      </c>
      <c r="E18" s="132">
        <f>IF(C18=0,0,D18/C18)</f>
        <v>0.12935609933586184</v>
      </c>
      <c r="F18" s="29" t="inlineStr">
        <is>
          <t>GL journals #68743 / #68744</t>
        </is>
      </c>
    </row>
    <row r="19">
      <c r="A19" s="18" t="inlineStr">
        <is>
          <t>FE 7 Aug</t>
        </is>
      </c>
      <c r="B19" s="128" t="n">
        <v>46245</v>
      </c>
      <c r="C19" s="130" t="n">
        <v>108324.58</v>
      </c>
      <c r="D19" s="130" t="n">
        <v>13783.25</v>
      </c>
      <c r="E19" s="132">
        <f>IF(C19=0,0,D19/C19)</f>
        <v>0.127240281014706</v>
      </c>
      <c r="F19" s="29" t="inlineStr">
        <is>
          <t>GL journals #69396 / #69397</t>
        </is>
      </c>
    </row>
    <row r="20">
      <c r="A20" s="18" t="inlineStr">
        <is>
          <t>FE 21 Aug</t>
        </is>
      </c>
      <c r="B20" s="128" t="n">
        <v>46259</v>
      </c>
      <c r="C20" s="130" t="n">
        <v>115339.8</v>
      </c>
      <c r="D20" s="130" t="n">
        <v>14677.93</v>
      </c>
      <c r="E20" s="132">
        <f>IF(C20=0,0,D20/C20)</f>
        <v>0.1272581537335768</v>
      </c>
      <c r="F20" s="29" t="inlineStr">
        <is>
          <t>GL journals #69669 / #69663 (the run in the training videos)</t>
        </is>
      </c>
    </row>
    <row r="21">
      <c r="A21" s="18" t="inlineStr">
        <is>
          <t>FE 4 Sep + FE 18 Sep (two runs)</t>
        </is>
      </c>
      <c r="B21" s="128" t="n">
        <v>46287</v>
      </c>
      <c r="C21" s="130" t="n">
        <v>217061.76</v>
      </c>
      <c r="D21" s="130" t="n">
        <v>27815.63</v>
      </c>
      <c r="E21" s="132">
        <f>IF(C21=0,0,D21/C21)</f>
        <v>0.12814615526935744</v>
      </c>
      <c r="F21" s="29" t="inlineStr">
        <is>
          <t>Xero cash P&amp;L 1-28 Sep: all salaries &amp; wages accounts; direct + indirect super</t>
        </is>
      </c>
    </row>
    <row r="22">
      <c r="A22" s="18" t="inlineStr">
        <is>
          <t>FE 2 Oct (paid Tue 6 Oct)</t>
        </is>
      </c>
      <c r="B22" s="128" t="n">
        <v>46304</v>
      </c>
      <c r="C22" s="130" t="n">
        <v>101245.94</v>
      </c>
      <c r="D22" s="130" t="n">
        <v>13083.54</v>
      </c>
      <c r="E22" s="132">
        <f>IF(C22=0,0,D22/C22)</f>
        <v>0.1292253299243407</v>
      </c>
      <c r="F22" s="29" t="inlineStr">
        <is>
          <t>Xero cash P&amp;L, journal dated 8-9 Oct. Bank shows about $79.7k net leaving 6 Oct, super + payroll tax 7 Oct.</t>
        </is>
      </c>
    </row>
    <row r="23">
      <c r="A23" s="18" t="inlineStr">
        <is>
          <t>FE 16 Oct (paid Tue 20 Oct)</t>
        </is>
      </c>
      <c r="B23" s="128" t="n">
        <v>46315</v>
      </c>
      <c r="C23" s="130" t="n">
        <v>111704.13</v>
      </c>
      <c r="D23" s="130" t="n">
        <v>14214.47</v>
      </c>
      <c r="E23" s="132">
        <f>IF(C23=0,0,D23/C23)</f>
        <v>0.12725106940987768</v>
      </c>
      <c r="F23" s="29" t="inlineStr">
        <is>
          <t>Xero cash P&amp;L 13-28 Oct: all salaries &amp; wages accounts; direct + indirect super.</t>
        </is>
      </c>
    </row>
    <row r="24">
      <c r="A24" s="13" t="inlineStr">
        <is>
          <t>Average gross per fortnight (last 4 fortnights)</t>
        </is>
      </c>
      <c r="B24" s="119">
        <f>(C21+C22+C23)/4</f>
        <v>107502.9575</v>
      </c>
      <c r="C24" s="29" t="inlineStr">
        <is>
          <t>The two Sep runs plus the two Oct runs, over four fortnights.</t>
        </is>
      </c>
    </row>
    <row r="25">
      <c r="A25" s="29" t="inlineStr">
        <is>
          <t>SG is 12%. The batch % above is higher because the GL super accounts include sal sac super (25 Aug: $13,677 SG + $1,052 sal sac). Forecast uses 12% - the sal sac part comes off gross so it isn't counted twice.</t>
        </is>
      </c>
    </row>
    <row r="26"/>
    <row r="27">
      <c r="A27" s="2" t="inlineStr">
        <is>
          <t>Reference - payroll tax accruals this financial year</t>
        </is>
      </c>
    </row>
    <row r="28">
      <c r="A28" s="7" t="inlineStr">
        <is>
          <t>Month</t>
        </is>
      </c>
      <c r="B28" s="7" t="inlineStr">
        <is>
          <t>NSW</t>
        </is>
      </c>
      <c r="C28" s="7" t="inlineStr">
        <is>
          <t>Other states</t>
        </is>
      </c>
      <c r="D28" s="7" t="inlineStr">
        <is>
          <t>Total</t>
        </is>
      </c>
      <c r="E28" s="7" t="inlineStr">
        <is>
          <t>Source</t>
        </is>
      </c>
    </row>
    <row r="29">
      <c r="A29" s="18" t="inlineStr">
        <is>
          <t>July 2026</t>
        </is>
      </c>
      <c r="B29" s="130" t="n">
        <v>5170.8</v>
      </c>
      <c r="C29" s="130" t="n">
        <v>3000</v>
      </c>
      <c r="D29" s="120">
        <f>B29+C29</f>
        <v>8170.8</v>
      </c>
      <c r="E29" s="29" t="inlineStr">
        <is>
          <t>GL journals #68926 (NSW) and #68927 (other states)</t>
        </is>
      </c>
    </row>
    <row r="30">
      <c r="A30" s="18" t="inlineStr">
        <is>
          <t>August 2026</t>
        </is>
      </c>
      <c r="B30" s="130" t="n">
        <v>6295.07</v>
      </c>
      <c r="C30" s="130" t="n">
        <v>2700</v>
      </c>
      <c r="D30" s="120">
        <f>B30+C30</f>
        <v>8995.07</v>
      </c>
      <c r="E30" s="29" t="inlineStr">
        <is>
          <t>GL journals #69671 + #70351 (NSW) and #69670 (other states)</t>
        </is>
      </c>
    </row>
    <row r="31">
      <c r="A31" s="29" t="inlineStr">
        <is>
          <t>Sep return paid 7 Oct was $8,602.75 all up (Xero cash P&amp;L). Split by state not visible, so the Nov payment uses that total with the Aug split.</t>
        </is>
      </c>
    </row>
  </sheetData>
  <pageMargins left="0.75" right="0.75" top="1" bottom="1" header="0.5" footer="0.5"/>
  <pageSetup orientation="landscape"/>
</worksheet>
</file>

<file path=xl/worksheets/sheet4.xml><?xml version="1.0" encoding="utf-8"?>
<worksheet xmlns="http://schemas.openxmlformats.org/spreadsheetml/2006/main">
  <sheetPr>
    <outlinePr summaryBelow="1" summaryRight="1"/>
    <pageSetUpPr fitToPage="1"/>
  </sheetPr>
  <dimension ref="A1:K69"/>
  <sheetViews>
    <sheetView workbookViewId="0">
      <pane ySplit="4" topLeftCell="A5" activePane="bottomLeft" state="frozen"/>
      <selection pane="bottomLeft" activeCell="A12" sqref="A12:K12"/>
    </sheetView>
  </sheetViews>
  <sheetFormatPr baseColWidth="8" defaultRowHeight="15"/>
  <cols>
    <col width="34" customWidth="1" style="109" min="1" max="1"/>
    <col width="12" customWidth="1" style="109" min="2" max="2"/>
    <col width="44" customWidth="1" style="109" min="3" max="3"/>
    <col width="12" customWidth="1" style="109" min="4" max="5"/>
    <col width="17.42578125" customWidth="1" style="109" min="6" max="6"/>
    <col width="13" customWidth="1" style="109" min="7" max="7"/>
    <col width="16" customWidth="1" style="109" min="8" max="8"/>
    <col width="11" customWidth="1" style="109" min="9" max="9"/>
    <col width="8" customWidth="1" style="109" min="10" max="10"/>
    <col width="62" customWidth="1" style="109" min="11" max="11"/>
  </cols>
  <sheetData>
    <row r="1" ht="18" customHeight="1" s="109">
      <c r="A1" s="1" t="inlineStr">
        <is>
          <t>Receivables - every open invoice and when the cash is expected</t>
        </is>
      </c>
    </row>
    <row r="2">
      <c r="A2" s="29" t="inlineStr">
        <is>
          <t>Xero aged receivables at 29 Oct ($445,570.46, 35 invoices) plus the Oct contract invoices still to be raised (from the repeating templates, Sep actuals used where the amount varies). Expected date (blue) is my call based on how each customer has been paying - change it and the forecast moves. Aware Super paid everything in October, including the $225,887.</t>
        </is>
      </c>
    </row>
    <row r="4" ht="30" customHeight="1" s="109">
      <c r="A4" s="113" t="inlineStr">
        <is>
          <t>Customer</t>
        </is>
      </c>
      <c r="B4" s="113" t="inlineStr">
        <is>
          <t>Invoice</t>
        </is>
      </c>
      <c r="C4" s="113" t="inlineStr">
        <is>
          <t>Reference</t>
        </is>
      </c>
      <c r="D4" s="113" t="inlineStr">
        <is>
          <t>Invoice date</t>
        </is>
      </c>
      <c r="E4" s="113" t="inlineStr">
        <is>
          <t>Due date</t>
        </is>
      </c>
      <c r="F4" s="113" t="inlineStr">
        <is>
          <t>Amount (incl GST)</t>
        </is>
      </c>
      <c r="G4" s="113" t="inlineStr">
        <is>
          <t>Status</t>
        </is>
      </c>
      <c r="H4" s="113" t="inlineStr">
        <is>
          <t>Expected receipt date</t>
        </is>
      </c>
      <c r="I4" s="113" t="inlineStr">
        <is>
          <t>Days after due</t>
        </is>
      </c>
      <c r="J4" s="113" t="inlineStr">
        <is>
          <t>Week</t>
        </is>
      </c>
      <c r="K4" s="113" t="inlineStr">
        <is>
          <t>Why that date</t>
        </is>
      </c>
    </row>
    <row r="5">
      <c r="A5" s="18" t="inlineStr">
        <is>
          <t>ASX Operations</t>
        </is>
      </c>
      <c r="B5" s="18" t="inlineStr">
        <is>
          <t>INV-10668</t>
        </is>
      </c>
      <c r="C5" s="18" t="inlineStr">
        <is>
          <t>External listing test days 29.9.26</t>
        </is>
      </c>
      <c r="D5" s="137" t="n">
        <v>46295</v>
      </c>
      <c r="E5" s="137" t="n">
        <v>46325</v>
      </c>
      <c r="F5" s="138" t="n">
        <v>5747.5</v>
      </c>
      <c r="G5" s="33" t="inlineStr">
        <is>
          <t>Current</t>
        </is>
      </c>
      <c r="H5" s="137" t="n">
        <v>46325</v>
      </c>
      <c r="I5" s="45">
        <f>H5-E5</f>
        <v>0</v>
      </c>
      <c r="J5" s="18">
        <f>IF(H5&lt;Assumptions!$B$5,"Before",IF(H5&gt;Assumptions!$C$48,"After",INT((H5-Assumptions!$B$5)/7)+1))</f>
        <v>1</v>
      </c>
      <c r="K5" s="115" t="inlineStr">
        <is>
          <t>ASX pay on the due date - the 15 Oct ones landed 15 Oct.</t>
        </is>
      </c>
    </row>
    <row r="6">
      <c r="A6" s="18" t="inlineStr">
        <is>
          <t>ASX Operations</t>
        </is>
      </c>
      <c r="B6" s="18" t="inlineStr">
        <is>
          <t>INV-10705</t>
        </is>
      </c>
      <c r="C6" s="18" t="inlineStr">
        <is>
          <t>ASX AGM 22.10.2026</t>
        </is>
      </c>
      <c r="D6" s="137" t="n">
        <v>46324</v>
      </c>
      <c r="E6" s="137" t="n">
        <v>46354</v>
      </c>
      <c r="F6" s="138" t="n">
        <v>70644.75999999999</v>
      </c>
      <c r="G6" s="33" t="inlineStr">
        <is>
          <t>Current</t>
        </is>
      </c>
      <c r="H6" s="137" t="n">
        <v>46356</v>
      </c>
      <c r="I6" s="45">
        <f>H6-E6</f>
        <v>2</v>
      </c>
      <c r="J6" s="18">
        <f>IF(H6&lt;Assumptions!$B$5,"Before",IF(H6&gt;Assumptions!$C$48,"After",INT((H6-Assumptions!$B$5)/7)+1))</f>
        <v>5</v>
      </c>
      <c r="K6" s="115" t="inlineStr">
        <is>
          <t>Due Sat 28 Nov, call it Mon 30 Nov. The big one for ASX.</t>
        </is>
      </c>
    </row>
    <row r="7">
      <c r="A7" s="18" t="inlineStr">
        <is>
          <t>ASX Operations</t>
        </is>
      </c>
      <c r="B7" s="18" t="inlineStr">
        <is>
          <t>INV-10704</t>
        </is>
      </c>
      <c r="C7" s="18" t="inlineStr">
        <is>
          <t>CEO Connect series 27.10.2026</t>
        </is>
      </c>
      <c r="D7" s="137" t="n">
        <v>46324</v>
      </c>
      <c r="E7" s="137" t="n">
        <v>46354</v>
      </c>
      <c r="F7" s="138" t="n">
        <v>4041.4</v>
      </c>
      <c r="G7" s="33" t="inlineStr">
        <is>
          <t>Current</t>
        </is>
      </c>
      <c r="H7" s="137" t="n">
        <v>46356</v>
      </c>
      <c r="I7" s="45">
        <f>H7-E7</f>
        <v>2</v>
      </c>
      <c r="J7" s="18">
        <f>IF(H7&lt;Assumptions!$B$5,"Before",IF(H7&gt;Assumptions!$C$48,"After",INT((H7-Assumptions!$B$5)/7)+1))</f>
        <v>5</v>
      </c>
      <c r="K7" s="115" t="inlineStr">
        <is>
          <t>With the AGM one.</t>
        </is>
      </c>
    </row>
    <row r="8">
      <c r="A8" s="18" t="inlineStr">
        <is>
          <t>ASX Operations</t>
        </is>
      </c>
      <c r="B8" s="18" t="inlineStr">
        <is>
          <t>INV-10703</t>
        </is>
      </c>
      <c r="C8" s="18" t="inlineStr">
        <is>
          <t>Listing event lighting 14.10.26</t>
        </is>
      </c>
      <c r="D8" s="137" t="n">
        <v>46324</v>
      </c>
      <c r="E8" s="137" t="n">
        <v>46354</v>
      </c>
      <c r="F8" s="138" t="n">
        <v>1903</v>
      </c>
      <c r="G8" s="33" t="inlineStr">
        <is>
          <t>Current</t>
        </is>
      </c>
      <c r="H8" s="137" t="n">
        <v>46356</v>
      </c>
      <c r="I8" s="45">
        <f>H8-E8</f>
        <v>2</v>
      </c>
      <c r="J8" s="18">
        <f>IF(H8&lt;Assumptions!$B$5,"Before",IF(H8&gt;Assumptions!$C$48,"After",INT((H8-Assumptions!$B$5)/7)+1))</f>
        <v>5</v>
      </c>
      <c r="K8" s="115" t="inlineStr">
        <is>
          <t>With the AGM one.</t>
        </is>
      </c>
    </row>
    <row r="9">
      <c r="A9" s="18" t="inlineStr">
        <is>
          <t>April 5</t>
        </is>
      </c>
      <c r="B9" s="18" t="inlineStr">
        <is>
          <t>INV-10706</t>
        </is>
      </c>
      <c r="C9" s="18" t="inlineStr">
        <is>
          <t>Microsoft SME&amp;C event 14.10.2026 (PO016066)</t>
        </is>
      </c>
      <c r="D9" s="137" t="n">
        <v>46324</v>
      </c>
      <c r="E9" s="137" t="n">
        <v>46354</v>
      </c>
      <c r="F9" s="138" t="n">
        <v>32452.77</v>
      </c>
      <c r="G9" s="33" t="inlineStr">
        <is>
          <t>Current</t>
        </is>
      </c>
      <c r="H9" s="137" t="n">
        <v>46356</v>
      </c>
      <c r="I9" s="45">
        <f>H9-E9</f>
        <v>2</v>
      </c>
      <c r="J9" s="18">
        <f>IF(H9&lt;Assumptions!$B$5,"Before",IF(H9&gt;Assumptions!$C$48,"After",INT((H9-Assumptions!$B$5)/7)+1))</f>
        <v>5</v>
      </c>
      <c r="K9" s="115" t="inlineStr">
        <is>
          <t>New customer - on the due date, Mon 30 Nov.</t>
        </is>
      </c>
    </row>
    <row r="10">
      <c r="A10" s="18" t="inlineStr">
        <is>
          <t>Chorus Call Australia</t>
        </is>
      </c>
      <c r="B10" s="18" t="inlineStr">
        <is>
          <t>INV-10678</t>
        </is>
      </c>
      <c r="C10" s="18" t="inlineStr">
        <is>
          <t>Redox AGM 07.10.2026</t>
        </is>
      </c>
      <c r="D10" s="137" t="n">
        <v>46311</v>
      </c>
      <c r="E10" s="137" t="n">
        <v>46341</v>
      </c>
      <c r="F10" s="138" t="n">
        <v>5326.2</v>
      </c>
      <c r="G10" s="33" t="inlineStr">
        <is>
          <t>Current</t>
        </is>
      </c>
      <c r="H10" s="137" t="n">
        <v>46342</v>
      </c>
      <c r="I10" s="45">
        <f>H10-E10</f>
        <v>1</v>
      </c>
      <c r="J10" s="18">
        <f>IF(H10&lt;Assumptions!$B$5,"Before",IF(H10&gt;Assumptions!$C$48,"After",INT((H10-Assumptions!$B$5)/7)+1))</f>
        <v>3</v>
      </c>
      <c r="K10" s="115" t="inlineStr">
        <is>
          <t>Due Sun 15 Nov so Mon 16 Nov.</t>
        </is>
      </c>
    </row>
    <row r="11">
      <c r="A11" s="18" t="inlineStr">
        <is>
          <t>Commonwealth Bank (CBA Place South)</t>
        </is>
      </c>
      <c r="B11" s="18" t="inlineStr">
        <is>
          <t>INV-10677</t>
        </is>
      </c>
      <c r="C11" s="18" t="inlineStr">
        <is>
          <t>Bankwest production kit (PO3311640)</t>
        </is>
      </c>
      <c r="D11" s="137" t="n">
        <v>46311</v>
      </c>
      <c r="E11" s="137" t="n">
        <v>46341</v>
      </c>
      <c r="F11" s="138" t="n">
        <v>118250</v>
      </c>
      <c r="G11" s="33" t="inlineStr">
        <is>
          <t>Current</t>
        </is>
      </c>
      <c r="H11" s="137" t="n">
        <v>46332</v>
      </c>
      <c r="I11" s="45">
        <f>H11-E11</f>
        <v>-9</v>
      </c>
      <c r="J11" s="18">
        <f>IF(H11&lt;Assumptions!$B$5,"Before",IF(H11&gt;Assumptions!$C$48,"After",INT((H11-Assumptions!$B$5)/7)+1))</f>
        <v>2</v>
      </c>
      <c r="K11" s="115" t="inlineStr">
        <is>
          <t>Biggest one in the forecast. CBA paid the Sep contract invoices 15 days after we sent them, so Fri 6 Nov. If they take the full 30 days it is Mon 16 Nov - still inside the forecast.</t>
        </is>
      </c>
    </row>
    <row r="12" ht="36" customHeight="1" s="109">
      <c r="A12" s="18" t="inlineStr">
        <is>
          <t>Commonwealth Bank (CBA Place South)</t>
        </is>
      </c>
      <c r="B12" s="18" t="inlineStr">
        <is>
          <t>INV-10707</t>
        </is>
      </c>
      <c r="C12" s="18" t="inlineStr">
        <is>
          <t>Foldback monitor hire 22.10.2026</t>
        </is>
      </c>
      <c r="D12" s="137" t="n">
        <v>46324</v>
      </c>
      <c r="E12" s="137" t="n">
        <v>46354</v>
      </c>
      <c r="F12" s="138" t="n">
        <v>3498</v>
      </c>
      <c r="G12" s="33" t="inlineStr">
        <is>
          <t>Current</t>
        </is>
      </c>
      <c r="H12" s="137" t="n">
        <v>46339</v>
      </c>
      <c r="I12" s="45">
        <f>H12-E12</f>
        <v>-15</v>
      </c>
      <c r="J12" s="18">
        <f>IF(H12&lt;Assumptions!$B$5,"Before",IF(H12&gt;Assumptions!$C$48,"After",INT((H12-Assumptions!$B$5)/7)+1))</f>
        <v>3</v>
      </c>
      <c r="K12" s="115" t="inlineStr">
        <is>
          <t>15 days after invoice.</t>
        </is>
      </c>
    </row>
    <row r="13" ht="24" customHeight="1" s="109">
      <c r="A13" s="18" t="inlineStr">
        <is>
          <t>Dimensional Fund Advisors</t>
        </is>
      </c>
      <c r="B13" s="18" t="inlineStr">
        <is>
          <t>INV-10692</t>
        </is>
      </c>
      <c r="C13" s="18" t="inlineStr">
        <is>
          <t>AV audio support 15.10.26</t>
        </is>
      </c>
      <c r="D13" s="137" t="n">
        <v>46315</v>
      </c>
      <c r="E13" s="137" t="n">
        <v>46345</v>
      </c>
      <c r="F13" s="138" t="n">
        <v>418</v>
      </c>
      <c r="G13" s="33" t="inlineStr">
        <is>
          <t>Current</t>
        </is>
      </c>
      <c r="H13" s="137" t="n">
        <v>46332</v>
      </c>
      <c r="I13" s="45">
        <f>H13-E13</f>
        <v>-13</v>
      </c>
      <c r="J13" s="18">
        <f>IF(H13&lt;Assumptions!$B$5,"Before",IF(H13&gt;Assumptions!$C$48,"After",INT((H13-Assumptions!$B$5)/7)+1))</f>
        <v>2</v>
      </c>
      <c r="K13" s="115" t="inlineStr">
        <is>
          <t>Paid the last one 9 days after invoice.</t>
        </is>
      </c>
    </row>
    <row r="14">
      <c r="A14" s="18" t="inlineStr">
        <is>
          <t>Downer EDI</t>
        </is>
      </c>
      <c r="B14" s="18" t="inlineStr">
        <is>
          <t>INV-10587</t>
        </is>
      </c>
      <c r="C14" s="18" t="inlineStr">
        <is>
          <t>Full year results briefing 20.08.2026</t>
        </is>
      </c>
      <c r="D14" s="137" t="n">
        <v>46259</v>
      </c>
      <c r="E14" s="137" t="n">
        <v>46289</v>
      </c>
      <c r="F14" s="138" t="n">
        <v>12808.69</v>
      </c>
      <c r="G14" s="33" t="inlineStr">
        <is>
          <t>Overdue 1 month</t>
        </is>
      </c>
      <c r="H14" s="137" t="n">
        <v>46339</v>
      </c>
      <c r="I14" s="45">
        <f>H14-E14</f>
        <v>50</v>
      </c>
      <c r="J14" s="18">
        <f>IF(H14&lt;Assumptions!$B$5,"Before",IF(H14&gt;Assumptions!$C$48,"After",INT((H14-Assumptions!$B$5)/7)+1))</f>
        <v>3</v>
      </c>
      <c r="K14" s="115" t="inlineStr">
        <is>
          <t>Five weeks overdue at 29 Oct and nothing in yet. Chase. Fri 13 Nov.</t>
        </is>
      </c>
    </row>
    <row r="15">
      <c r="A15" s="18" t="inlineStr">
        <is>
          <t>Downer EDI</t>
        </is>
      </c>
      <c r="B15" s="18" t="inlineStr">
        <is>
          <t>INV-10611</t>
        </is>
      </c>
      <c r="C15" s="18" t="inlineStr">
        <is>
          <t>Full year employee briefing 25.08.2026</t>
        </is>
      </c>
      <c r="D15" s="137" t="n">
        <v>46265</v>
      </c>
      <c r="E15" s="137" t="n">
        <v>46295</v>
      </c>
      <c r="F15" s="138" t="n">
        <v>26855.13</v>
      </c>
      <c r="G15" s="33" t="inlineStr">
        <is>
          <t>Overdue</t>
        </is>
      </c>
      <c r="H15" s="137" t="n">
        <v>46339</v>
      </c>
      <c r="I15" s="45">
        <f>H15-E15</f>
        <v>44</v>
      </c>
      <c r="J15" s="18">
        <f>IF(H15&lt;Assumptions!$B$5,"Before",IF(H15&gt;Assumptions!$C$48,"After",INT((H15-Assumptions!$B$5)/7)+1))</f>
        <v>3</v>
      </c>
      <c r="K15" s="115" t="inlineStr">
        <is>
          <t>A month overdue. Chase with the other one.</t>
        </is>
      </c>
    </row>
    <row r="16">
      <c r="A16" s="18" t="inlineStr">
        <is>
          <t>Garvan Research Foundation</t>
        </is>
      </c>
      <c r="B16" s="18" t="inlineStr">
        <is>
          <t>INV-10679</t>
        </is>
      </c>
      <c r="C16" s="18" t="inlineStr">
        <is>
          <t>Breast cancer public lecture 01.10.2026</t>
        </is>
      </c>
      <c r="D16" s="137" t="n">
        <v>46310</v>
      </c>
      <c r="E16" s="137" t="n">
        <v>46340</v>
      </c>
      <c r="F16" s="138" t="n">
        <v>418</v>
      </c>
      <c r="G16" s="33" t="inlineStr">
        <is>
          <t>Current</t>
        </is>
      </c>
      <c r="H16" s="137" t="n">
        <v>46342</v>
      </c>
      <c r="I16" s="45">
        <f>H16-E16</f>
        <v>2</v>
      </c>
      <c r="J16" s="18">
        <f>IF(H16&lt;Assumptions!$B$5,"Before",IF(H16&gt;Assumptions!$C$48,"After",INT((H16-Assumptions!$B$5)/7)+1))</f>
        <v>3</v>
      </c>
      <c r="K16" s="115" t="inlineStr">
        <is>
          <t>Due Sat 14 Nov so Mon 16 Nov.</t>
        </is>
      </c>
    </row>
    <row r="17">
      <c r="A17" s="18" t="inlineStr">
        <is>
          <t>Garvan Research Foundation</t>
        </is>
      </c>
      <c r="B17" s="18" t="inlineStr">
        <is>
          <t>INV-10680</t>
        </is>
      </c>
      <c r="C17" s="18" t="inlineStr">
        <is>
          <t>Breast cancer symposium (PO-59639)</t>
        </is>
      </c>
      <c r="D17" s="137" t="n">
        <v>46310</v>
      </c>
      <c r="E17" s="137" t="n">
        <v>46340</v>
      </c>
      <c r="F17" s="138" t="n">
        <v>836</v>
      </c>
      <c r="G17" s="33" t="inlineStr">
        <is>
          <t>Current</t>
        </is>
      </c>
      <c r="H17" s="137" t="n">
        <v>46342</v>
      </c>
      <c r="I17" s="45">
        <f>H17-E17</f>
        <v>2</v>
      </c>
      <c r="J17" s="18">
        <f>IF(H17&lt;Assumptions!$B$5,"Before",IF(H17&gt;Assumptions!$C$48,"After",INT((H17-Assumptions!$B$5)/7)+1))</f>
        <v>3</v>
      </c>
      <c r="K17" s="115" t="inlineStr">
        <is>
          <t>Same.</t>
        </is>
      </c>
    </row>
    <row r="18">
      <c r="A18" s="18" t="inlineStr">
        <is>
          <t>Garvan Research Foundation</t>
        </is>
      </c>
      <c r="B18" s="18" t="inlineStr">
        <is>
          <t>INV-10693</t>
        </is>
      </c>
      <c r="C18" s="18" t="inlineStr">
        <is>
          <t>Suttons cocktail event 15.10.2026</t>
        </is>
      </c>
      <c r="D18" s="137" t="n">
        <v>46315</v>
      </c>
      <c r="E18" s="137" t="n">
        <v>46345</v>
      </c>
      <c r="F18" s="138" t="n">
        <v>1034</v>
      </c>
      <c r="G18" s="33" t="inlineStr">
        <is>
          <t>Current</t>
        </is>
      </c>
      <c r="H18" s="137" t="n">
        <v>46345</v>
      </c>
      <c r="I18" s="45">
        <f>H18-E18</f>
        <v>0</v>
      </c>
      <c r="J18" s="18">
        <f>IF(H18&lt;Assumptions!$B$5,"Before",IF(H18&gt;Assumptions!$C$48,"After",INT((H18-Assumptions!$B$5)/7)+1))</f>
        <v>4</v>
      </c>
      <c r="K18" s="115" t="inlineStr">
        <is>
          <t>On the due date.</t>
        </is>
      </c>
    </row>
    <row r="19">
      <c r="A19" s="18" t="inlineStr">
        <is>
          <t>Generation-e Productivity Solutions</t>
        </is>
      </c>
      <c r="B19" s="18" t="inlineStr">
        <is>
          <t>INV-10532</t>
        </is>
      </c>
      <c r="C19" s="18" t="inlineStr">
        <is>
          <t>PAU26-407 (Jul)</t>
        </is>
      </c>
      <c r="D19" s="137" t="n">
        <v>46234</v>
      </c>
      <c r="E19" s="137" t="n">
        <v>46264</v>
      </c>
      <c r="F19" s="138" t="n">
        <v>11850.16</v>
      </c>
      <c r="G19" s="33" t="inlineStr">
        <is>
          <t>Overdue 2 months</t>
        </is>
      </c>
      <c r="H19" s="137" t="n">
        <v>46346</v>
      </c>
      <c r="I19" s="45">
        <f>H19-E19</f>
        <v>82</v>
      </c>
      <c r="J19" s="18">
        <f>IF(H19&lt;Assumptions!$B$5,"Before",IF(H19&gt;Assumptions!$C$48,"After",INT((H19-Assumptions!$B$5)/7)+1))</f>
        <v>4</v>
      </c>
      <c r="K19" s="115" t="inlineStr">
        <is>
          <t>Two months overdue. The Sep one was settled with a credit note on 20 Oct - check this one is not in dispute too. Doubtful.</t>
        </is>
      </c>
    </row>
    <row r="20">
      <c r="A20" s="18" t="inlineStr">
        <is>
          <t>Global Philanthropic</t>
        </is>
      </c>
      <c r="B20" s="18" t="inlineStr">
        <is>
          <t>INV-10670</t>
        </is>
      </c>
      <c r="C20" s="18" t="inlineStr">
        <is>
          <t>Talking Philanthropy Aus 18.09.2026</t>
        </is>
      </c>
      <c r="D20" s="137" t="n">
        <v>46295</v>
      </c>
      <c r="E20" s="137" t="n">
        <v>46325</v>
      </c>
      <c r="F20" s="138" t="n">
        <v>4343.9</v>
      </c>
      <c r="G20" s="33" t="inlineStr">
        <is>
          <t>Current</t>
        </is>
      </c>
      <c r="H20" s="137" t="n">
        <v>46332</v>
      </c>
      <c r="I20" s="45">
        <f>H20-E20</f>
        <v>7</v>
      </c>
      <c r="J20" s="18">
        <f>IF(H20&lt;Assumptions!$B$5,"Before",IF(H20&gt;Assumptions!$C$48,"After",INT((H20-Assumptions!$B$5)/7)+1))</f>
        <v>2</v>
      </c>
      <c r="K20" s="115" t="inlineStr">
        <is>
          <t>New customer - give it a week past due.</t>
        </is>
      </c>
    </row>
    <row r="21">
      <c r="A21" s="18" t="inlineStr">
        <is>
          <t>Global Philanthropic</t>
        </is>
      </c>
      <c r="B21" s="18" t="inlineStr">
        <is>
          <t>INV-10669</t>
        </is>
      </c>
      <c r="C21" s="18" t="inlineStr">
        <is>
          <t>Talking Philanthropy event B-roll</t>
        </is>
      </c>
      <c r="D21" s="137" t="n">
        <v>46295</v>
      </c>
      <c r="E21" s="137" t="n">
        <v>46325</v>
      </c>
      <c r="F21" s="138" t="n">
        <v>1373.9</v>
      </c>
      <c r="G21" s="33" t="inlineStr">
        <is>
          <t>Current</t>
        </is>
      </c>
      <c r="H21" s="137" t="n">
        <v>46332</v>
      </c>
      <c r="I21" s="45">
        <f>H21-E21</f>
        <v>7</v>
      </c>
      <c r="J21" s="18">
        <f>IF(H21&lt;Assumptions!$B$5,"Before",IF(H21&gt;Assumptions!$C$48,"After",INT((H21-Assumptions!$B$5)/7)+1))</f>
        <v>2</v>
      </c>
      <c r="K21" s="115" t="inlineStr">
        <is>
          <t>With the other one.</t>
        </is>
      </c>
    </row>
    <row r="22">
      <c r="A22" s="18" t="inlineStr">
        <is>
          <t>ICC Sydney</t>
        </is>
      </c>
      <c r="B22" s="18" t="inlineStr">
        <is>
          <t>INV-10672</t>
        </is>
      </c>
      <c r="C22" s="18" t="inlineStr">
        <is>
          <t>Speaker presentation technicians Sep (TTS)</t>
        </is>
      </c>
      <c r="D22" s="137" t="n">
        <v>46295</v>
      </c>
      <c r="E22" s="137" t="n">
        <v>46325</v>
      </c>
      <c r="F22" s="138" t="n">
        <v>4100.26</v>
      </c>
      <c r="G22" s="33" t="inlineStr">
        <is>
          <t>Current</t>
        </is>
      </c>
      <c r="H22" s="137" t="n">
        <v>46325</v>
      </c>
      <c r="I22" s="45">
        <f>H22-E22</f>
        <v>0</v>
      </c>
      <c r="J22" s="18">
        <f>IF(H22&lt;Assumptions!$B$5,"Before",IF(H22&gt;Assumptions!$C$48,"After",INT((H22-Assumptions!$B$5)/7)+1))</f>
        <v>1</v>
      </c>
      <c r="K22" s="115" t="inlineStr">
        <is>
          <t>ICC paid the other Sep one two weeks early. On the due date.</t>
        </is>
      </c>
    </row>
    <row r="23">
      <c r="A23" s="18" t="inlineStr">
        <is>
          <t>Jaazaniah Salanoa (staff)</t>
        </is>
      </c>
      <c r="B23" s="18" t="inlineStr">
        <is>
          <t>INV-10621</t>
        </is>
      </c>
      <c r="C23" s="18" t="inlineStr">
        <is>
          <t>Goget hire recovery</t>
        </is>
      </c>
      <c r="D23" s="137" t="n">
        <v>46265</v>
      </c>
      <c r="E23" s="137" t="n">
        <v>46295</v>
      </c>
      <c r="F23" s="138" t="n">
        <v>66.64</v>
      </c>
      <c r="G23" s="33" t="inlineStr">
        <is>
          <t>Overdue</t>
        </is>
      </c>
      <c r="H23" s="137" t="n">
        <v>46360</v>
      </c>
      <c r="I23" s="45">
        <f>H23-E23</f>
        <v>65</v>
      </c>
      <c r="J23" s="18" t="str">
        <f>IF(H23&lt;Assumptions!$B$5,"Before",IF(H23&gt;Assumptions!$C$48,"After",INT((H23-Assumptions!$B$5)/7)+1))</f>
        <v>After</v>
      </c>
      <c r="K23" s="115" t="inlineStr">
        <is>
          <t>Staff recovery - goes through payroll, no cash. Left out.</t>
        </is>
      </c>
    </row>
    <row r="24">
      <c r="A24" s="18" t="inlineStr">
        <is>
          <t>Meet Magic</t>
        </is>
      </c>
      <c r="B24" s="18" t="inlineStr">
        <is>
          <t>INV-10464</t>
        </is>
      </c>
      <c r="C24" s="18" t="inlineStr">
        <is>
          <t>Human AI event highlights videos 29.05.2026</t>
        </is>
      </c>
      <c r="D24" s="137" t="n">
        <v>46192</v>
      </c>
      <c r="E24" s="137" t="n">
        <v>46199</v>
      </c>
      <c r="F24" s="138" t="n">
        <v>5075.07</v>
      </c>
      <c r="G24" s="33" t="inlineStr">
        <is>
          <t>Overdue 4 months</t>
        </is>
      </c>
      <c r="H24" s="137" t="n">
        <v>46374</v>
      </c>
      <c r="I24" s="45">
        <f>H24-E24</f>
        <v>175</v>
      </c>
      <c r="J24" s="18" t="str">
        <f>IF(H24&lt;Assumptions!$B$5,"Before",IF(H24&gt;Assumptions!$C$48,"After",INT((H24-Assumptions!$B$5)/7)+1))</f>
        <v>After</v>
      </c>
      <c r="K24" s="115" t="inlineStr">
        <is>
          <t>DOUBTFUL - four months overdue. Left out. Needs escalating.</t>
        </is>
      </c>
    </row>
    <row r="25">
      <c r="A25" s="18" t="inlineStr">
        <is>
          <t>Microsoft</t>
        </is>
      </c>
      <c r="B25" s="18" t="inlineStr">
        <is>
          <t>INV-10554</t>
        </is>
      </c>
      <c r="C25" s="18" t="inlineStr">
        <is>
          <t>PO 10160645</t>
        </is>
      </c>
      <c r="D25" s="137" t="n">
        <v>46234</v>
      </c>
      <c r="E25" s="137" t="n">
        <v>46264</v>
      </c>
      <c r="F25" s="138" t="n">
        <v>13845.7</v>
      </c>
      <c r="G25" s="33" t="inlineStr">
        <is>
          <t>Overdue 2 months</t>
        </is>
      </c>
      <c r="H25" s="137" t="n">
        <v>46346</v>
      </c>
      <c r="I25" s="45">
        <f>H25-E25</f>
        <v>82</v>
      </c>
      <c r="J25" s="18">
        <f>IF(H25&lt;Assumptions!$B$5,"Before",IF(H25&gt;Assumptions!$C$48,"After",INT((H25-Assumptions!$B$5)/7)+1))</f>
        <v>4</v>
      </c>
      <c r="K25" s="115" t="inlineStr">
        <is>
          <t>Two months overdue - usually a PO / portal issue. Chase. Week 4.</t>
        </is>
      </c>
    </row>
    <row r="26">
      <c r="A26" s="18" t="inlineStr">
        <is>
          <t>MUFG Corporate Markets</t>
        </is>
      </c>
      <c r="B26" s="18" t="inlineStr">
        <is>
          <t>INV-10709</t>
        </is>
      </c>
      <c r="C26" s="18" t="inlineStr">
        <is>
          <t>IMB Limited AGM 27.10.2026</t>
        </is>
      </c>
      <c r="D26" s="137" t="n">
        <v>46324</v>
      </c>
      <c r="E26" s="137" t="n">
        <v>46354</v>
      </c>
      <c r="F26" s="138" t="n">
        <v>9129.73</v>
      </c>
      <c r="G26" s="33" t="inlineStr">
        <is>
          <t>Current</t>
        </is>
      </c>
      <c r="H26" s="137" t="n">
        <v>46356</v>
      </c>
      <c r="I26" s="45">
        <f>H26-E26</f>
        <v>2</v>
      </c>
      <c r="J26" s="18">
        <f>IF(H26&lt;Assumptions!$B$5,"Before",IF(H26&gt;Assumptions!$C$48,"After",INT((H26-Assumptions!$B$5)/7)+1))</f>
        <v>5</v>
      </c>
      <c r="K26" s="115" t="inlineStr">
        <is>
          <t>On the due date, Mon 30 Nov.</t>
        </is>
      </c>
    </row>
    <row r="27">
      <c r="A27" s="18" t="inlineStr">
        <is>
          <t>Noisebox Integrated Technologies</t>
        </is>
      </c>
      <c r="B27" s="18" t="inlineStr">
        <is>
          <t>INV-10681</t>
        </is>
      </c>
      <c r="C27" s="18" t="inlineStr">
        <is>
          <t>Audio dry hire 13.10.26</t>
        </is>
      </c>
      <c r="D27" s="137" t="n">
        <v>46311</v>
      </c>
      <c r="E27" s="137" t="n">
        <v>46341</v>
      </c>
      <c r="F27" s="138" t="n">
        <v>203.5</v>
      </c>
      <c r="G27" s="33" t="inlineStr">
        <is>
          <t>Current</t>
        </is>
      </c>
      <c r="H27" s="137" t="n">
        <v>46342</v>
      </c>
      <c r="I27" s="45">
        <f>H27-E27</f>
        <v>1</v>
      </c>
      <c r="J27" s="18">
        <f>IF(H27&lt;Assumptions!$B$5,"Before",IF(H27&gt;Assumptions!$C$48,"After",INT((H27-Assumptions!$B$5)/7)+1))</f>
        <v>3</v>
      </c>
      <c r="K27" s="115" t="inlineStr">
        <is>
          <t>Due Sun 15 Nov so Mon 16 Nov.</t>
        </is>
      </c>
    </row>
    <row r="28" ht="24" customHeight="1" s="109">
      <c r="A28" s="18" t="inlineStr">
        <is>
          <t>ON24</t>
        </is>
      </c>
      <c r="B28" s="18" t="inlineStr">
        <is>
          <t>INV-10589</t>
        </is>
      </c>
      <c r="C28" s="18" t="inlineStr">
        <is>
          <t>PO25962</t>
        </is>
      </c>
      <c r="D28" s="137" t="n">
        <v>46260</v>
      </c>
      <c r="E28" s="137" t="n">
        <v>46290</v>
      </c>
      <c r="F28" s="138" t="n">
        <v>3005.75</v>
      </c>
      <c r="G28" s="33" t="inlineStr">
        <is>
          <t>Overdue 1 month</t>
        </is>
      </c>
      <c r="H28" s="137" t="n">
        <v>46346</v>
      </c>
      <c r="I28" s="45">
        <f>H28-E28</f>
        <v>56</v>
      </c>
      <c r="J28" s="18">
        <f>IF(H28&lt;Assumptions!$B$5,"Before",IF(H28&gt;Assumptions!$C$48,"After",INT((H28-Assumptions!$B$5)/7)+1))</f>
        <v>4</v>
      </c>
      <c r="K28" s="115" t="inlineStr">
        <is>
          <t>The Aug one has been paid. This one is a month overdue - chase.</t>
        </is>
      </c>
    </row>
    <row r="29">
      <c r="A29" s="18" t="inlineStr">
        <is>
          <t>PwC Services</t>
        </is>
      </c>
      <c r="B29" s="18" t="inlineStr">
        <is>
          <t>INV-10655</t>
        </is>
      </c>
      <c r="C29" s="18" t="inlineStr">
        <is>
          <t>PO2601702104 - Sep contract</t>
        </is>
      </c>
      <c r="D29" s="137" t="n">
        <v>46295</v>
      </c>
      <c r="E29" s="137" t="n">
        <v>46325</v>
      </c>
      <c r="F29" s="138" t="n">
        <v>13097.7</v>
      </c>
      <c r="G29" s="33" t="inlineStr">
        <is>
          <t>Current</t>
        </is>
      </c>
      <c r="H29" s="137" t="n">
        <v>46325</v>
      </c>
      <c r="I29" s="45">
        <f>H29-E29</f>
        <v>0</v>
      </c>
      <c r="J29" s="18">
        <f>IF(H29&lt;Assumptions!$B$5,"Before",IF(H29&gt;Assumptions!$C$48,"After",INT((H29-Assumptions!$B$5)/7)+1))</f>
        <v>1</v>
      </c>
      <c r="K29" s="115" t="inlineStr">
        <is>
          <t>PwC pay on the due date (the Aug ones came 29 Sep).</t>
        </is>
      </c>
    </row>
    <row r="30">
      <c r="A30" s="18" t="inlineStr">
        <is>
          <t>PwC Services</t>
        </is>
      </c>
      <c r="B30" s="18" t="inlineStr">
        <is>
          <t>INV-10641</t>
        </is>
      </c>
      <c r="C30" s="18" t="inlineStr">
        <is>
          <t>PO2601702371 - Sep contract</t>
        </is>
      </c>
      <c r="D30" s="137" t="n">
        <v>46295</v>
      </c>
      <c r="E30" s="137" t="n">
        <v>46325</v>
      </c>
      <c r="F30" s="138" t="n">
        <v>7865</v>
      </c>
      <c r="G30" s="33" t="inlineStr">
        <is>
          <t>Current</t>
        </is>
      </c>
      <c r="H30" s="137" t="n">
        <v>46325</v>
      </c>
      <c r="I30" s="45">
        <f>H30-E30</f>
        <v>0</v>
      </c>
      <c r="J30" s="18">
        <f>IF(H30&lt;Assumptions!$B$5,"Before",IF(H30&gt;Assumptions!$C$48,"After",INT((H30-Assumptions!$B$5)/7)+1))</f>
        <v>1</v>
      </c>
      <c r="K30" s="115" t="inlineStr">
        <is>
          <t>On the due date.</t>
        </is>
      </c>
    </row>
    <row r="31">
      <c r="A31" s="18" t="inlineStr">
        <is>
          <t>St Luke's Liverpool</t>
        </is>
      </c>
      <c r="B31" s="18" t="inlineStr">
        <is>
          <t>INV-10676</t>
        </is>
      </c>
      <c r="C31" s="18" t="inlineStr">
        <is>
          <t>Digital mixer equipment</t>
        </is>
      </c>
      <c r="D31" s="137" t="n">
        <v>46295</v>
      </c>
      <c r="E31" s="137" t="n">
        <v>46325</v>
      </c>
      <c r="F31" s="138" t="n">
        <v>4988.5</v>
      </c>
      <c r="G31" s="33" t="inlineStr">
        <is>
          <t>Current</t>
        </is>
      </c>
      <c r="H31" s="137" t="n">
        <v>46332</v>
      </c>
      <c r="I31" s="45">
        <f>H31-E31</f>
        <v>7</v>
      </c>
      <c r="J31" s="18">
        <f>IF(H31&lt;Assumptions!$B$5,"Before",IF(H31&gt;Assumptions!$C$48,"After",INT((H31-Assumptions!$B$5)/7)+1))</f>
        <v>2</v>
      </c>
      <c r="K31" s="115" t="inlineStr">
        <is>
          <t>New customer - give it a week past due.</t>
        </is>
      </c>
    </row>
    <row r="32">
      <c r="A32" s="18" t="inlineStr">
        <is>
          <t>The Lottery Corporation</t>
        </is>
      </c>
      <c r="B32" s="18" t="inlineStr">
        <is>
          <t>INV-10682</t>
        </is>
      </c>
      <c r="C32" s="18" t="inlineStr">
        <is>
          <t>AGM event photography 14.10.2026</t>
        </is>
      </c>
      <c r="D32" s="137" t="n">
        <v>46310</v>
      </c>
      <c r="E32" s="137" t="n">
        <v>46340</v>
      </c>
      <c r="F32" s="138" t="n">
        <v>1534.5</v>
      </c>
      <c r="G32" s="33" t="inlineStr">
        <is>
          <t>Current</t>
        </is>
      </c>
      <c r="H32" s="137" t="n">
        <v>46342</v>
      </c>
      <c r="I32" s="45">
        <f>H32-E32</f>
        <v>2</v>
      </c>
      <c r="J32" s="18">
        <f>IF(H32&lt;Assumptions!$B$5,"Before",IF(H32&gt;Assumptions!$C$48,"After",INT((H32-Assumptions!$B$5)/7)+1))</f>
        <v>3</v>
      </c>
      <c r="K32" s="115" t="inlineStr">
        <is>
          <t>Due Sat 14 Nov so Mon 16 Nov.</t>
        </is>
      </c>
    </row>
    <row r="33">
      <c r="A33" s="18" t="inlineStr">
        <is>
          <t>The Lottery Corporation</t>
        </is>
      </c>
      <c r="B33" s="18" t="inlineStr">
        <is>
          <t>INV-10710</t>
        </is>
      </c>
      <c r="C33" s="18" t="inlineStr">
        <is>
          <t>AGM 14.10.2026 (variation)</t>
        </is>
      </c>
      <c r="D33" s="137" t="n">
        <v>46324</v>
      </c>
      <c r="E33" s="137" t="n">
        <v>46354</v>
      </c>
      <c r="F33" s="138" t="n">
        <v>39187.49</v>
      </c>
      <c r="G33" s="33" t="inlineStr">
        <is>
          <t>Current</t>
        </is>
      </c>
      <c r="H33" s="137" t="n">
        <v>46356</v>
      </c>
      <c r="I33" s="45">
        <f>H33-E33</f>
        <v>2</v>
      </c>
      <c r="J33" s="18">
        <f>IF(H33&lt;Assumptions!$B$5,"Before",IF(H33&gt;Assumptions!$C$48,"After",INT((H33-Assumptions!$B$5)/7)+1))</f>
        <v>5</v>
      </c>
      <c r="K33" s="115" t="inlineStr">
        <is>
          <t>New customer - on the due date, Mon 30 Nov.</t>
        </is>
      </c>
    </row>
    <row r="34">
      <c r="A34" s="18" t="inlineStr">
        <is>
          <t>Vega Global Australia</t>
        </is>
      </c>
      <c r="B34" s="18" t="inlineStr">
        <is>
          <t>INV-10647</t>
        </is>
      </c>
      <c r="C34" s="18" t="inlineStr">
        <is>
          <t>Payments &amp; Securities Forums 14-17.9.26</t>
        </is>
      </c>
      <c r="D34" s="137" t="n">
        <v>46287</v>
      </c>
      <c r="E34" s="137" t="n">
        <v>46317</v>
      </c>
      <c r="F34" s="138" t="n">
        <v>1969</v>
      </c>
      <c r="G34" s="33" t="inlineStr">
        <is>
          <t>Overdue</t>
        </is>
      </c>
      <c r="H34" s="137" t="n">
        <v>46332</v>
      </c>
      <c r="I34" s="45">
        <f>H34-E34</f>
        <v>15</v>
      </c>
      <c r="J34" s="18">
        <f>IF(H34&lt;Assumptions!$B$5,"Before",IF(H34&gt;Assumptions!$C$48,"After",INT((H34-Assumptions!$B$5)/7)+1))</f>
        <v>2</v>
      </c>
      <c r="K34" s="115" t="inlineStr">
        <is>
          <t>A week overdue - chase.</t>
        </is>
      </c>
    </row>
    <row r="35">
      <c r="A35" s="18" t="inlineStr">
        <is>
          <t>Vega Global Australia</t>
        </is>
      </c>
      <c r="B35" s="18" t="inlineStr">
        <is>
          <t>INV-10684</t>
        </is>
      </c>
      <c r="C35" s="18" t="inlineStr">
        <is>
          <t>AI Forum audio assistance 13-14.10.26</t>
        </is>
      </c>
      <c r="D35" s="137" t="n">
        <v>46311</v>
      </c>
      <c r="E35" s="137" t="n">
        <v>46341</v>
      </c>
      <c r="F35" s="138" t="n">
        <v>1907.13</v>
      </c>
      <c r="G35" s="33" t="inlineStr">
        <is>
          <t>Current</t>
        </is>
      </c>
      <c r="H35" s="137" t="n">
        <v>46342</v>
      </c>
      <c r="I35" s="45">
        <f>H35-E35</f>
        <v>1</v>
      </c>
      <c r="J35" s="18">
        <f>IF(H35&lt;Assumptions!$B$5,"Before",IF(H35&gt;Assumptions!$C$48,"After",INT((H35-Assumptions!$B$5)/7)+1))</f>
        <v>3</v>
      </c>
      <c r="K35" s="115" t="inlineStr">
        <is>
          <t>Due Sun 15 Nov so Mon 16 Nov.</t>
        </is>
      </c>
    </row>
    <row r="36">
      <c r="A36" s="18" t="inlineStr">
        <is>
          <t>Ventia</t>
        </is>
      </c>
      <c r="B36" s="18" t="inlineStr">
        <is>
          <t>INV-10612</t>
        </is>
      </c>
      <c r="C36" s="18" t="inlineStr">
        <is>
          <t>Half year results briefing 24.08.2026</t>
        </is>
      </c>
      <c r="D36" s="137" t="n">
        <v>46265</v>
      </c>
      <c r="E36" s="137" t="n">
        <v>46295</v>
      </c>
      <c r="F36" s="138" t="n">
        <v>11919.04</v>
      </c>
      <c r="G36" s="33" t="inlineStr">
        <is>
          <t>Overdue</t>
        </is>
      </c>
      <c r="H36" s="137" t="n">
        <v>46339</v>
      </c>
      <c r="I36" s="45">
        <f>H36-E36</f>
        <v>44</v>
      </c>
      <c r="J36" s="18">
        <f>IF(H36&lt;Assumptions!$B$5,"Before",IF(H36&gt;Assumptions!$C$48,"After",INT((H36-Assumptions!$B$5)/7)+1))</f>
        <v>3</v>
      </c>
      <c r="K36" s="115" t="inlineStr">
        <is>
          <t>A month overdue. Ventia paid the big Aug one on 29 Sep, so these should come - chase. Fri 13 Nov.</t>
        </is>
      </c>
    </row>
    <row r="37">
      <c r="A37" s="18" t="inlineStr">
        <is>
          <t>Ventia</t>
        </is>
      </c>
      <c r="B37" s="18" t="inlineStr">
        <is>
          <t>INV-10593</t>
        </is>
      </c>
      <c r="C37" s="18" t="inlineStr">
        <is>
          <t>Employee HYR town hall 24.08.2026</t>
        </is>
      </c>
      <c r="D37" s="137" t="n">
        <v>46265</v>
      </c>
      <c r="E37" s="137" t="n">
        <v>46295</v>
      </c>
      <c r="F37" s="138" t="n">
        <v>14741.65</v>
      </c>
      <c r="G37" s="33" t="inlineStr">
        <is>
          <t>Overdue</t>
        </is>
      </c>
      <c r="H37" s="137" t="n">
        <v>46339</v>
      </c>
      <c r="I37" s="45">
        <f>H37-E37</f>
        <v>44</v>
      </c>
      <c r="J37" s="18">
        <f>IF(H37&lt;Assumptions!$B$5,"Before",IF(H37&gt;Assumptions!$C$48,"After",INT((H37-Assumptions!$B$5)/7)+1))</f>
        <v>3</v>
      </c>
      <c r="K37" s="115" t="inlineStr">
        <is>
          <t>Same.</t>
        </is>
      </c>
    </row>
    <row r="38">
      <c r="A38" s="18" t="inlineStr">
        <is>
          <t>Ventia</t>
        </is>
      </c>
      <c r="B38" s="18" t="inlineStr">
        <is>
          <t>INV-10632</t>
        </is>
      </c>
      <c r="C38" s="18" t="inlineStr">
        <is>
          <t>RUOK Day event 10.09.2026</t>
        </is>
      </c>
      <c r="D38" s="137" t="n">
        <v>46281</v>
      </c>
      <c r="E38" s="137" t="n">
        <v>46311</v>
      </c>
      <c r="F38" s="138" t="n">
        <v>10015.89</v>
      </c>
      <c r="G38" s="33" t="inlineStr">
        <is>
          <t>Overdue</t>
        </is>
      </c>
      <c r="H38" s="137" t="n">
        <v>46339</v>
      </c>
      <c r="I38" s="45">
        <f>H38-E38</f>
        <v>28</v>
      </c>
      <c r="J38" s="18">
        <f>IF(H38&lt;Assumptions!$B$5,"Before",IF(H38&gt;Assumptions!$C$48,"After",INT((H38-Assumptions!$B$5)/7)+1))</f>
        <v>3</v>
      </c>
      <c r="K38" s="115" t="inlineStr">
        <is>
          <t>Same.</t>
        </is>
      </c>
    </row>
    <row r="39">
      <c r="A39" s="18" t="inlineStr">
        <is>
          <t>YSG Studio</t>
        </is>
      </c>
      <c r="B39" s="18" t="inlineStr">
        <is>
          <t>INV-10653</t>
        </is>
      </c>
      <c r="C39" s="18" t="inlineStr">
        <is>
          <t>YSG Studio phase 4</t>
        </is>
      </c>
      <c r="D39" s="137" t="n">
        <v>46290</v>
      </c>
      <c r="E39" s="137" t="n">
        <v>46320</v>
      </c>
      <c r="F39" s="138" t="n">
        <v>1116.5</v>
      </c>
      <c r="G39" s="33" t="inlineStr">
        <is>
          <t>Overdue</t>
        </is>
      </c>
      <c r="H39" s="137" t="n">
        <v>46332</v>
      </c>
      <c r="I39" s="45">
        <f>H39-E39</f>
        <v>12</v>
      </c>
      <c r="J39" s="18">
        <f>IF(H39&lt;Assumptions!$B$5,"Before",IF(H39&gt;Assumptions!$C$48,"After",INT((H39-Assumptions!$B$5)/7)+1))</f>
        <v>2</v>
      </c>
      <c r="K39" s="115" t="inlineStr">
        <is>
          <t>A few days overdue - chase.</t>
        </is>
      </c>
    </row>
    <row r="40">
      <c r="A40" s="18" t="inlineStr">
        <is>
          <t>Deloitte Services Trust</t>
        </is>
      </c>
      <c r="B40" s="18" t="inlineStr">
        <is>
          <t>TBR</t>
        </is>
      </c>
      <c r="C40" s="18" t="inlineStr">
        <is>
          <t>Oct contract invoice (template $113,988)</t>
        </is>
      </c>
      <c r="D40" s="137" t="n">
        <v>46325</v>
      </c>
      <c r="E40" s="137" t="n">
        <v>46355</v>
      </c>
      <c r="F40" s="138" t="n">
        <v>113987.99</v>
      </c>
      <c r="G40" s="33" t="inlineStr">
        <is>
          <t>To be raised</t>
        </is>
      </c>
      <c r="H40" s="137" t="n">
        <v>46335</v>
      </c>
      <c r="I40" s="45">
        <f>H40-E40</f>
        <v>-20</v>
      </c>
      <c r="J40" s="18">
        <f>IF(H40&lt;Assumptions!$B$5,"Before",IF(H40&gt;Assumptions!$C$48,"After",INT((H40-Assumptions!$B$5)/7)+1))</f>
        <v>2</v>
      </c>
      <c r="K40" s="115" t="inlineStr">
        <is>
          <t>Sep contract invoice (30 Sep) was paid 8 Oct - Deloitte pay about a week after we invoice.</t>
        </is>
      </c>
    </row>
    <row r="41">
      <c r="A41" s="18" t="inlineStr">
        <is>
          <t>Deloitte Services Trust</t>
        </is>
      </c>
      <c r="B41" s="18" t="inlineStr">
        <is>
          <t>TBR</t>
        </is>
      </c>
      <c r="C41" s="18" t="inlineStr">
        <is>
          <t>Oct additionals (Sep actual $18,892 used)</t>
        </is>
      </c>
      <c r="D41" s="137" t="n">
        <v>46325</v>
      </c>
      <c r="E41" s="137" t="n">
        <v>46355</v>
      </c>
      <c r="F41" s="138" t="n">
        <v>18891.66</v>
      </c>
      <c r="G41" s="33" t="inlineStr">
        <is>
          <t>To be raised</t>
        </is>
      </c>
      <c r="H41" s="137" t="n">
        <v>46335</v>
      </c>
      <c r="I41" s="45">
        <f>H41-E41</f>
        <v>-20</v>
      </c>
      <c r="J41" s="18">
        <f>IF(H41&lt;Assumptions!$B$5,"Before",IF(H41&gt;Assumptions!$C$48,"After",INT((H41-Assumptions!$B$5)/7)+1))</f>
        <v>2</v>
      </c>
      <c r="K41" s="115" t="inlineStr">
        <is>
          <t>Sep additionals were paid with the contract one. Amount will differ.</t>
        </is>
      </c>
    </row>
    <row r="42">
      <c r="A42" s="18" t="inlineStr">
        <is>
          <t>Commonwealth Bank (CBA Place South)</t>
        </is>
      </c>
      <c r="B42" s="18" t="inlineStr">
        <is>
          <t>TBR</t>
        </is>
      </c>
      <c r="C42" s="18" t="inlineStr">
        <is>
          <t>Oct contract (85720001CBPSCSJUN27)</t>
        </is>
      </c>
      <c r="D42" s="137" t="n">
        <v>46325</v>
      </c>
      <c r="E42" s="137" t="n">
        <v>46355</v>
      </c>
      <c r="F42" s="138" t="n">
        <v>24619.84</v>
      </c>
      <c r="G42" s="33" t="inlineStr">
        <is>
          <t>To be raised</t>
        </is>
      </c>
      <c r="H42" s="137" t="n">
        <v>46342</v>
      </c>
      <c r="I42" s="45">
        <f>H42-E42</f>
        <v>-13</v>
      </c>
      <c r="J42" s="18">
        <f>IF(H42&lt;Assumptions!$B$5,"Before",IF(H42&gt;Assumptions!$C$48,"After",INT((H42-Assumptions!$B$5)/7)+1))</f>
        <v>3</v>
      </c>
      <c r="K42" s="115" t="inlineStr">
        <is>
          <t>Sep ones (30 Sep) were paid 15 Oct - 15 days.</t>
        </is>
      </c>
    </row>
    <row r="43" ht="24" customHeight="1" s="109">
      <c r="A43" s="18" t="inlineStr">
        <is>
          <t>Commonwealth Bank (CBA Place South)</t>
        </is>
      </c>
      <c r="B43" s="18" t="inlineStr">
        <is>
          <t>TBR</t>
        </is>
      </c>
      <c r="C43" s="18" t="inlineStr">
        <is>
          <t>Oct dedicated tech / after hours (Sep actual $3,432)</t>
        </is>
      </c>
      <c r="D43" s="137" t="n">
        <v>46325</v>
      </c>
      <c r="E43" s="137" t="n">
        <v>46355</v>
      </c>
      <c r="F43" s="138" t="n">
        <v>3432</v>
      </c>
      <c r="G43" s="33" t="inlineStr">
        <is>
          <t>To be raised</t>
        </is>
      </c>
      <c r="H43" s="137" t="n">
        <v>46342</v>
      </c>
      <c r="I43" s="45">
        <f>H43-E43</f>
        <v>-13</v>
      </c>
      <c r="J43" s="18">
        <f>IF(H43&lt;Assumptions!$B$5,"Before",IF(H43&gt;Assumptions!$C$48,"After",INT((H43-Assumptions!$B$5)/7)+1))</f>
        <v>3</v>
      </c>
      <c r="K43" s="115" t="inlineStr">
        <is>
          <t>Same.</t>
        </is>
      </c>
    </row>
    <row r="44">
      <c r="A44" s="18" t="inlineStr">
        <is>
          <t>Commonwealth Bank (CBA Place South)</t>
        </is>
      </c>
      <c r="B44" s="18" t="inlineStr">
        <is>
          <t>TBR</t>
        </is>
      </c>
      <c r="C44" s="18" t="inlineStr">
        <is>
          <t>Oct live event support (Sep actual $5,398)</t>
        </is>
      </c>
      <c r="D44" s="137" t="n">
        <v>46325</v>
      </c>
      <c r="E44" s="137" t="n">
        <v>46355</v>
      </c>
      <c r="F44" s="138" t="n">
        <v>5398.25</v>
      </c>
      <c r="G44" s="33" t="inlineStr">
        <is>
          <t>To be raised</t>
        </is>
      </c>
      <c r="H44" s="137" t="n">
        <v>46342</v>
      </c>
      <c r="I44" s="45">
        <f>H44-E44</f>
        <v>-13</v>
      </c>
      <c r="J44" s="18">
        <f>IF(H44&lt;Assumptions!$B$5,"Before",IF(H44&gt;Assumptions!$C$48,"After",INT((H44-Assumptions!$B$5)/7)+1))</f>
        <v>3</v>
      </c>
      <c r="K44" s="115" t="inlineStr">
        <is>
          <t>Same.</t>
        </is>
      </c>
    </row>
    <row r="45">
      <c r="A45" s="18" t="inlineStr">
        <is>
          <t>Commonwealth Bank (CBA Square)</t>
        </is>
      </c>
      <c r="B45" s="18" t="inlineStr">
        <is>
          <t>TBR</t>
        </is>
      </c>
      <c r="C45" s="18" t="inlineStr">
        <is>
          <t>Oct contract (85720001CBSCSJUN27)</t>
        </is>
      </c>
      <c r="D45" s="137" t="n">
        <v>46325</v>
      </c>
      <c r="E45" s="137" t="n">
        <v>46355</v>
      </c>
      <c r="F45" s="138" t="n">
        <v>11792</v>
      </c>
      <c r="G45" s="33" t="inlineStr">
        <is>
          <t>To be raised</t>
        </is>
      </c>
      <c r="H45" s="137" t="n">
        <v>46342</v>
      </c>
      <c r="I45" s="45">
        <f>H45-E45</f>
        <v>-13</v>
      </c>
      <c r="J45" s="18">
        <f>IF(H45&lt;Assumptions!$B$5,"Before",IF(H45&gt;Assumptions!$C$48,"After",INT((H45-Assumptions!$B$5)/7)+1))</f>
        <v>3</v>
      </c>
      <c r="K45" s="115" t="inlineStr">
        <is>
          <t>Same.</t>
        </is>
      </c>
    </row>
    <row r="46">
      <c r="A46" s="18" t="inlineStr">
        <is>
          <t>Commonwealth Bank (CBA Melbourne)</t>
        </is>
      </c>
      <c r="B46" s="18" t="inlineStr">
        <is>
          <t>TBR</t>
        </is>
      </c>
      <c r="C46" s="18" t="inlineStr">
        <is>
          <t>Oct contract (85720001MEL435CSJUN27)</t>
        </is>
      </c>
      <c r="D46" s="137" t="n">
        <v>46325</v>
      </c>
      <c r="E46" s="137" t="n">
        <v>46355</v>
      </c>
      <c r="F46" s="138" t="n">
        <v>12995.72</v>
      </c>
      <c r="G46" s="33" t="inlineStr">
        <is>
          <t>To be raised</t>
        </is>
      </c>
      <c r="H46" s="137" t="n">
        <v>46342</v>
      </c>
      <c r="I46" s="45">
        <f>H46-E46</f>
        <v>-13</v>
      </c>
      <c r="J46" s="18">
        <f>IF(H46&lt;Assumptions!$B$5,"Before",IF(H46&gt;Assumptions!$C$48,"After",INT((H46-Assumptions!$B$5)/7)+1))</f>
        <v>3</v>
      </c>
      <c r="K46" s="115" t="inlineStr">
        <is>
          <t>Same.</t>
        </is>
      </c>
    </row>
    <row r="47">
      <c r="A47" s="18" t="inlineStr">
        <is>
          <t>Commonwealth Bank (CBA Brisbane)</t>
        </is>
      </c>
      <c r="B47" s="18" t="inlineStr">
        <is>
          <t>TBR</t>
        </is>
      </c>
      <c r="C47" s="18" t="inlineStr">
        <is>
          <t>Oct contract (85720001BRISCSJUN27, Sep actual)</t>
        </is>
      </c>
      <c r="D47" s="137" t="n">
        <v>46325</v>
      </c>
      <c r="E47" s="137" t="n">
        <v>46355</v>
      </c>
      <c r="F47" s="138" t="n">
        <v>8043.2</v>
      </c>
      <c r="G47" s="33" t="inlineStr">
        <is>
          <t>To be raised</t>
        </is>
      </c>
      <c r="H47" s="137" t="n">
        <v>46335</v>
      </c>
      <c r="I47" s="45">
        <f>H47-E47</f>
        <v>-20</v>
      </c>
      <c r="J47" s="18">
        <f>IF(H47&lt;Assumptions!$B$5,"Before",IF(H47&gt;Assumptions!$C$48,"After",INT((H47-Assumptions!$B$5)/7)+1))</f>
        <v>2</v>
      </c>
      <c r="K47" s="115" t="inlineStr">
        <is>
          <t>Sep one was paid 7 Oct - a week.</t>
        </is>
      </c>
    </row>
    <row r="48">
      <c r="A48" s="18" t="inlineStr">
        <is>
          <t>Bankwest</t>
        </is>
      </c>
      <c r="B48" s="18" t="inlineStr">
        <is>
          <t>TBR</t>
        </is>
      </c>
      <c r="C48" s="18" t="inlineStr">
        <is>
          <t>Oct contract (85720001BWPCSJUN27)</t>
        </is>
      </c>
      <c r="D48" s="137" t="n">
        <v>46325</v>
      </c>
      <c r="E48" s="137" t="n">
        <v>46355</v>
      </c>
      <c r="F48" s="138" t="n">
        <v>13156</v>
      </c>
      <c r="G48" s="33" t="inlineStr">
        <is>
          <t>To be raised</t>
        </is>
      </c>
      <c r="H48" s="137" t="n">
        <v>46329</v>
      </c>
      <c r="I48" s="45">
        <f>H48-E48</f>
        <v>-26</v>
      </c>
      <c r="J48" s="18">
        <f>IF(H48&lt;Assumptions!$B$5,"Before",IF(H48&gt;Assumptions!$C$48,"After",INT((H48-Assumptions!$B$5)/7)+1))</f>
        <v>1</v>
      </c>
      <c r="K48" s="115" t="inlineStr">
        <is>
          <t>Bankwest paid the Sep one 2 Oct - two days after we sent it.</t>
        </is>
      </c>
    </row>
    <row r="49">
      <c r="A49" s="18" t="inlineStr">
        <is>
          <t>Bankwest</t>
        </is>
      </c>
      <c r="B49" s="18" t="inlineStr">
        <is>
          <t>TBR</t>
        </is>
      </c>
      <c r="C49" s="18" t="inlineStr">
        <is>
          <t>Oct additionals (Sep actual $4,752)</t>
        </is>
      </c>
      <c r="D49" s="137" t="n">
        <v>46325</v>
      </c>
      <c r="E49" s="137" t="n">
        <v>46355</v>
      </c>
      <c r="F49" s="138" t="n">
        <v>4752</v>
      </c>
      <c r="G49" s="33" t="inlineStr">
        <is>
          <t>To be raised</t>
        </is>
      </c>
      <c r="H49" s="137" t="n">
        <v>46342</v>
      </c>
      <c r="I49" s="45">
        <f>H49-E49</f>
        <v>-13</v>
      </c>
      <c r="J49" s="18">
        <f>IF(H49&lt;Assumptions!$B$5,"Before",IF(H49&gt;Assumptions!$C$48,"After",INT((H49-Assumptions!$B$5)/7)+1))</f>
        <v>3</v>
      </c>
      <c r="K49" s="115" t="inlineStr">
        <is>
          <t>Sep additionals took two weeks.</t>
        </is>
      </c>
    </row>
    <row r="50">
      <c r="A50" s="18" t="inlineStr">
        <is>
          <t>PwC Services</t>
        </is>
      </c>
      <c r="B50" s="18" t="inlineStr">
        <is>
          <t>TBR</t>
        </is>
      </c>
      <c r="C50" s="18" t="inlineStr">
        <is>
          <t>Oct contract PO2601702104</t>
        </is>
      </c>
      <c r="D50" s="137" t="n">
        <v>46325</v>
      </c>
      <c r="E50" s="137" t="n">
        <v>46355</v>
      </c>
      <c r="F50" s="138" t="n">
        <v>13097.7</v>
      </c>
      <c r="G50" s="33" t="inlineStr">
        <is>
          <t>To be raised</t>
        </is>
      </c>
      <c r="H50" s="137" t="n">
        <v>46356</v>
      </c>
      <c r="I50" s="45">
        <f>H50-E50</f>
        <v>1</v>
      </c>
      <c r="J50" s="18">
        <f>IF(H50&lt;Assumptions!$B$5,"Before",IF(H50&gt;Assumptions!$C$48,"After",INT((H50-Assumptions!$B$5)/7)+1))</f>
        <v>5</v>
      </c>
      <c r="K50" s="115" t="inlineStr">
        <is>
          <t>PwC pay on the due date. Due Sun 29 Nov so Mon 30 Nov.</t>
        </is>
      </c>
    </row>
    <row r="51">
      <c r="A51" s="18" t="inlineStr">
        <is>
          <t>PwC Services</t>
        </is>
      </c>
      <c r="B51" s="18" t="inlineStr">
        <is>
          <t>TBR</t>
        </is>
      </c>
      <c r="C51" s="18" t="inlineStr">
        <is>
          <t>Oct contract PO2601702371</t>
        </is>
      </c>
      <c r="D51" s="137" t="n">
        <v>46325</v>
      </c>
      <c r="E51" s="137" t="n">
        <v>46355</v>
      </c>
      <c r="F51" s="138" t="n">
        <v>7865</v>
      </c>
      <c r="G51" s="33" t="inlineStr">
        <is>
          <t>To be raised</t>
        </is>
      </c>
      <c r="H51" s="137" t="n">
        <v>46356</v>
      </c>
      <c r="I51" s="45">
        <f>H51-E51</f>
        <v>1</v>
      </c>
      <c r="J51" s="18">
        <f>IF(H51&lt;Assumptions!$B$5,"Before",IF(H51&gt;Assumptions!$C$48,"After",INT((H51-Assumptions!$B$5)/7)+1))</f>
        <v>5</v>
      </c>
      <c r="K51" s="115" t="inlineStr">
        <is>
          <t>Same.</t>
        </is>
      </c>
    </row>
    <row r="52">
      <c r="A52" s="18" t="inlineStr">
        <is>
          <t>Aware Super</t>
        </is>
      </c>
      <c r="B52" s="18" t="inlineStr">
        <is>
          <t>TBR</t>
        </is>
      </c>
      <c r="C52" s="18" t="inlineStr">
        <is>
          <t>Annual National Maintenance - October</t>
        </is>
      </c>
      <c r="D52" s="137" t="n">
        <v>46325</v>
      </c>
      <c r="E52" s="137" t="n">
        <v>46355</v>
      </c>
      <c r="F52" s="138" t="n">
        <v>12100</v>
      </c>
      <c r="G52" s="33" t="inlineStr">
        <is>
          <t>To be raised</t>
        </is>
      </c>
      <c r="H52" s="137" t="n">
        <v>46353</v>
      </c>
      <c r="I52" s="45">
        <f>H52-E52</f>
        <v>-2</v>
      </c>
      <c r="J52" s="18">
        <f>IF(H52&lt;Assumptions!$B$5,"Before",IF(H52&gt;Assumptions!$C$48,"After",INT((H52-Assumptions!$B$5)/7)+1))</f>
        <v>5</v>
      </c>
      <c r="K52" s="115" t="inlineStr">
        <is>
          <t>Aware paid the Sep one 27 Oct, three days before due.</t>
        </is>
      </c>
    </row>
    <row r="53">
      <c r="A53" s="18" t="n"/>
      <c r="B53" s="18" t="n"/>
      <c r="C53" s="18" t="n"/>
      <c r="D53" s="137" t="n"/>
      <c r="E53" s="137" t="n"/>
      <c r="F53" s="138" t="n"/>
      <c r="G53" s="33" t="n"/>
      <c r="H53" s="137" t="n"/>
      <c r="I53" s="45" t="n"/>
      <c r="J53" s="18" t="n"/>
      <c r="K53" s="115" t="n"/>
    </row>
    <row r="54">
      <c r="A54" s="18" t="n"/>
      <c r="B54" s="18" t="n"/>
      <c r="C54" s="18" t="n"/>
      <c r="D54" s="137" t="n"/>
      <c r="E54" s="137" t="n"/>
      <c r="F54" s="138" t="n"/>
      <c r="G54" s="33" t="n"/>
      <c r="H54" s="137" t="n"/>
      <c r="I54" s="45" t="n"/>
      <c r="J54" s="18" t="n"/>
      <c r="K54" s="115" t="n"/>
    </row>
    <row r="55">
      <c r="A55" s="18" t="n"/>
      <c r="B55" s="18" t="n"/>
      <c r="C55" s="18" t="n"/>
      <c r="D55" s="137" t="n"/>
      <c r="E55" s="137" t="n"/>
      <c r="F55" s="138" t="n"/>
      <c r="G55" s="33" t="n"/>
      <c r="H55" s="137" t="n"/>
      <c r="I55" s="45" t="n"/>
      <c r="J55" s="18" t="n"/>
      <c r="K55" s="115" t="n"/>
    </row>
    <row r="56">
      <c r="A56" s="18" t="n"/>
      <c r="B56" s="18" t="n"/>
      <c r="C56" s="18" t="n"/>
      <c r="D56" s="137" t="n"/>
      <c r="E56" s="137" t="n"/>
      <c r="F56" s="138" t="n"/>
      <c r="G56" s="33" t="n"/>
      <c r="H56" s="137" t="n"/>
      <c r="I56" s="45" t="n"/>
      <c r="J56" s="18" t="n"/>
      <c r="K56" s="115" t="n"/>
    </row>
    <row r="57">
      <c r="A57" s="18" t="n"/>
      <c r="B57" s="18" t="n"/>
      <c r="C57" s="18" t="n"/>
      <c r="D57" s="137" t="n"/>
      <c r="E57" s="137" t="n"/>
      <c r="F57" s="138" t="n"/>
      <c r="G57" s="33" t="n"/>
      <c r="H57" s="137" t="n"/>
      <c r="I57" s="45" t="n"/>
      <c r="J57" s="18" t="n"/>
      <c r="K57" s="115" t="n"/>
    </row>
    <row r="58">
      <c r="A58" s="18" t="n"/>
      <c r="B58" s="18" t="n"/>
      <c r="C58" s="18" t="n"/>
      <c r="D58" s="137" t="n"/>
      <c r="E58" s="137" t="n"/>
      <c r="F58" s="138" t="n"/>
      <c r="G58" s="33" t="n"/>
      <c r="H58" s="137" t="n"/>
      <c r="I58" s="45" t="n"/>
      <c r="J58" s="18" t="n"/>
      <c r="K58" s="115" t="n"/>
    </row>
    <row r="59">
      <c r="A59" s="18" t="n"/>
      <c r="B59" s="18" t="n"/>
      <c r="C59" s="18" t="n"/>
      <c r="D59" s="137" t="n"/>
      <c r="E59" s="137" t="n"/>
      <c r="F59" s="138" t="n"/>
      <c r="G59" s="33" t="n"/>
      <c r="H59" s="137" t="n"/>
      <c r="I59" s="45" t="n"/>
      <c r="J59" s="18" t="n"/>
      <c r="K59" s="115" t="n"/>
    </row>
    <row r="60">
      <c r="A60" s="18" t="n"/>
      <c r="B60" s="18" t="n"/>
      <c r="C60" s="18" t="n"/>
      <c r="D60" s="137" t="n"/>
      <c r="E60" s="137" t="n"/>
      <c r="F60" s="138" t="n"/>
      <c r="G60" s="33" t="n"/>
      <c r="H60" s="137" t="n"/>
      <c r="I60" s="45" t="n"/>
      <c r="J60" s="18" t="n"/>
      <c r="K60" s="115" t="n"/>
    </row>
    <row r="61">
      <c r="A61" s="18" t="n"/>
      <c r="B61" s="18" t="n"/>
      <c r="C61" s="18" t="n"/>
      <c r="D61" s="137" t="n"/>
      <c r="E61" s="137" t="n"/>
      <c r="F61" s="138" t="n"/>
      <c r="G61" s="33" t="n"/>
      <c r="H61" s="137" t="n"/>
      <c r="I61" s="45" t="n"/>
      <c r="J61" s="18" t="n"/>
      <c r="K61" s="115" t="n"/>
    </row>
    <row r="62">
      <c r="A62" s="18" t="n"/>
      <c r="B62" s="18" t="n"/>
      <c r="C62" s="18" t="n"/>
      <c r="D62" s="137" t="n"/>
      <c r="E62" s="137" t="n"/>
      <c r="F62" s="138" t="n"/>
      <c r="G62" s="33" t="n"/>
      <c r="H62" s="137" t="n"/>
      <c r="I62" s="45" t="n"/>
      <c r="J62" s="18" t="n"/>
      <c r="K62" s="115" t="n"/>
    </row>
    <row r="63">
      <c r="A63" s="18" t="n"/>
      <c r="B63" s="18" t="n"/>
      <c r="C63" s="18" t="n"/>
      <c r="D63" s="137" t="n"/>
      <c r="E63" s="137" t="n"/>
      <c r="F63" s="138" t="n"/>
      <c r="G63" s="33" t="n"/>
      <c r="H63" s="137" t="n"/>
      <c r="I63" s="45" t="n"/>
      <c r="J63" s="18" t="n"/>
      <c r="K63" s="115" t="n"/>
    </row>
    <row r="64">
      <c r="A64" s="18" t="n"/>
      <c r="B64" s="18" t="n"/>
      <c r="C64" s="18" t="n"/>
      <c r="D64" s="137" t="n"/>
      <c r="E64" s="137" t="n"/>
      <c r="F64" s="138" t="n"/>
      <c r="G64" s="33" t="n"/>
      <c r="H64" s="137" t="n"/>
      <c r="I64" s="45" t="n"/>
      <c r="J64" s="18" t="n"/>
      <c r="K64" s="115" t="n"/>
    </row>
    <row r="65">
      <c r="A65" s="18" t="n"/>
      <c r="B65" s="18" t="n"/>
      <c r="C65" s="18" t="n"/>
      <c r="D65" s="137" t="n"/>
      <c r="E65" s="137" t="n"/>
      <c r="F65" s="138" t="n"/>
      <c r="G65" s="33" t="n"/>
      <c r="H65" s="137" t="n"/>
      <c r="I65" s="45" t="n"/>
      <c r="J65" s="18" t="n"/>
      <c r="K65" s="115" t="n"/>
    </row>
    <row r="66">
      <c r="A66" s="13" t="inlineStr">
        <is>
          <t>TOTAL</t>
        </is>
      </c>
      <c r="B66" s="16" t="n"/>
      <c r="C66" s="16" t="n"/>
      <c r="D66" s="16" t="n"/>
      <c r="E66" s="16" t="n"/>
      <c r="F66" s="142">
        <f>SUM(F5:F65)</f>
        <v>695701.8200000001</v>
      </c>
      <c r="G66" s="16" t="n"/>
      <c r="H66" s="16" t="n"/>
      <c r="I66" s="16" t="n"/>
      <c r="J66" s="16" t="n"/>
      <c r="K66" s="16" t="n"/>
    </row>
    <row r="67">
      <c r="A67" s="29" t="inlineStr">
        <is>
          <t>of which open in Xero at 29 Oct (should be $445,570.46)</t>
        </is>
      </c>
      <c r="F67" s="143">
        <f>SUMIFS(F5:F65,G5:G65,"&lt;&gt;To be raised")</f>
        <v>445570.46</v>
      </c>
    </row>
    <row r="68">
      <c r="A68" s="29" t="inlineStr">
        <is>
          <t>of which expected inside the forecast (29 Oct to 2 Dec)</t>
        </is>
      </c>
      <c r="F68" s="143">
        <f>SUMIFS(F5:F65,H5:H65,"&gt;="&amp;Assumptions!$B$5,H5:H65,"&lt;="&amp;Assumptions!$C$48)</f>
        <v>690560.11</v>
      </c>
    </row>
    <row r="69">
      <c r="A69" s="29" t="inlineStr">
        <is>
          <t>of which pushed past the forecast (Meet Magic, Jaaz, the Nov contract invoices are not listed)</t>
        </is>
      </c>
      <c r="F69" s="143">
        <f>F66-F68</f>
        <v>5141.710000000079</v>
      </c>
    </row>
  </sheetData>
  <autoFilter ref="A4:K56"/>
  <pageMargins left="0.75" right="0.75" top="1" bottom="1" header="0.5" footer="0.5"/>
  <pageSetup orientation="landscape"/>
</worksheet>
</file>

<file path=xl/worksheets/sheet5.xml><?xml version="1.0" encoding="utf-8"?>
<worksheet xmlns="http://schemas.openxmlformats.org/spreadsheetml/2006/main">
  <sheetPr>
    <outlinePr summaryBelow="1" summaryRight="1"/>
    <pageSetUpPr fitToPage="1"/>
  </sheetPr>
  <dimension ref="A1:O100"/>
  <sheetViews>
    <sheetView workbookViewId="0">
      <pane ySplit="18" topLeftCell="A20" activePane="bottomLeft" state="frozen"/>
      <selection pane="bottomLeft" activeCell="J6" sqref="J6"/>
    </sheetView>
  </sheetViews>
  <sheetFormatPr baseColWidth="8" defaultRowHeight="15"/>
  <cols>
    <col width="32" customWidth="1" style="109" min="1" max="1"/>
    <col width="48" customWidth="1" style="109" min="2" max="2"/>
    <col width="12" customWidth="1" style="109" min="3" max="3"/>
    <col width="14" customWidth="1" style="109" min="4" max="4"/>
    <col width="10" customWidth="1" style="109" min="5" max="5"/>
    <col width="24" customWidth="1" style="109" min="6" max="6"/>
    <col width="16" customWidth="1" style="109" min="7" max="7"/>
    <col width="8" customWidth="1" style="109" min="8" max="8"/>
    <col width="14" customWidth="1" style="109" min="9" max="9"/>
    <col width="62" customWidth="1" style="109" min="10" max="10"/>
    <col width="22" customWidth="1" style="109" min="11" max="11"/>
  </cols>
  <sheetData>
    <row r="1" ht="18" customHeight="1" s="109">
      <c r="A1" s="1" t="inlineStr">
        <is>
          <t>Payables - every open bill, plus October's recurring bills not yet in Xero</t>
        </is>
      </c>
    </row>
    <row r="2" ht="39.95" customHeight="1" s="109">
      <c r="A2" s="115" t="inlineStr">
        <is>
          <t>Xero aged payables at 29 Oct ($158,464.01, 46 bills) plus the repeating bill templates for November. Card rows get paid on the PL/DL cards and sit in the credit card line on the Cash Flow tab, so they're left out of the category totals. With the Creditors Run tab switched on, the open Xero bills come through the Creditors run row and the templates come through the category lines.</t>
        </is>
      </c>
    </row>
    <row r="3"/>
    <row r="4">
      <c r="A4" s="7" t="inlineStr">
        <is>
          <t>PAYMENTS THIS WEEK (29 Oct - 4 Nov) - creditors run Mon 2 Nov</t>
        </is>
      </c>
      <c r="B4" s="114" t="n"/>
      <c r="C4" s="114" t="n"/>
      <c r="D4" s="114" t="n"/>
      <c r="E4" s="114" t="n"/>
      <c r="F4" s="114" t="n"/>
      <c r="G4" s="114" t="n"/>
      <c r="H4" s="114" t="n"/>
      <c r="I4" s="114" t="n"/>
      <c r="J4" s="114" t="n"/>
    </row>
    <row r="5">
      <c r="A5" s="9" t="inlineStr">
        <is>
          <t>Supplier</t>
        </is>
      </c>
      <c r="B5" s="9" t="inlineStr">
        <is>
          <t>Bill / reference</t>
        </is>
      </c>
      <c r="C5" s="9" t="inlineStr">
        <is>
          <t>Due date</t>
        </is>
      </c>
      <c r="D5" s="9" t="inlineStr">
        <is>
          <t>Amount (incl GST)</t>
        </is>
      </c>
      <c r="E5" s="9" t="inlineStr">
        <is>
          <t>Method</t>
        </is>
      </c>
      <c r="F5" s="9" t="inlineStr">
        <is>
          <t>Status</t>
        </is>
      </c>
      <c r="G5" s="9" t="inlineStr">
        <is>
          <t>Pay on</t>
        </is>
      </c>
      <c r="H5" s="9" t="n"/>
      <c r="I5" s="9" t="n"/>
      <c r="J5" s="9" t="inlineStr">
        <is>
          <t>Notes</t>
        </is>
      </c>
    </row>
    <row r="6" ht="72" customHeight="1" s="109">
      <c r="A6" s="48" t="inlineStr">
        <is>
          <t>Brookvale Insurance Brokers</t>
        </is>
      </c>
      <c r="B6" s="49" t="inlineStr">
        <is>
          <t>Six annual renewals - INV1918462, 1918336, 1918436, 1920058, 1920113, 1914759</t>
        </is>
      </c>
      <c r="C6" s="144" t="n">
        <v>46325</v>
      </c>
      <c r="D6" s="145">
        <f>SUM(D19:D24)</f>
        <v>66238.98</v>
      </c>
      <c r="E6" s="48" t="inlineStr">
        <is>
          <t>EFT</t>
        </is>
      </c>
      <c r="F6" s="52" t="inlineStr">
        <is>
          <t>AGREED - PAY</t>
        </is>
      </c>
      <c r="G6" s="146" t="n">
        <v>46328</v>
      </c>
      <c r="H6" s="54" t="n"/>
      <c r="I6" s="54" t="n"/>
      <c r="J6" s="55" t="inlineStr">
        <is>
          <t>GC approved all six. One payment in the Mon 2 Nov run - $66,238.98.</t>
        </is>
      </c>
    </row>
    <row r="7">
      <c r="A7" s="56" t="str">
        <f>A25</f>
        <v>Appspace</v>
      </c>
      <c r="B7" s="57" t="str">
        <f>B25</f>
        <v>INV00133660 - Appspace licensing for Aware Super (balance)</v>
      </c>
      <c r="C7" s="147">
        <f>C25</f>
        <v>46319</v>
      </c>
      <c r="D7" s="148">
        <f>D25</f>
        <v>19077.66</v>
      </c>
      <c r="E7" s="56" t="str">
        <f>E25</f>
        <v>EFT</v>
      </c>
      <c r="F7" s="22" t="inlineStr">
        <is>
          <t>Due this week</t>
        </is>
      </c>
      <c r="G7" s="149">
        <f>G25</f>
        <v>46328</v>
      </c>
      <c r="J7" s="115" t="inlineStr">
        <is>
          <t>Appspace - Aware paid us for it 20 Oct. Overdue, pay in the run.</t>
        </is>
      </c>
    </row>
    <row r="8">
      <c r="A8" s="61" t="str">
        <f>A26</f>
        <v>Start Webcast</v>
      </c>
      <c r="B8" s="62" t="str">
        <f>B26</f>
        <v>INV-202222 - CBA AGM 2026 equipment &amp; services</v>
      </c>
      <c r="C8" s="150">
        <f>C26</f>
        <v>46324</v>
      </c>
      <c r="D8" s="151">
        <f>D26</f>
        <v>12787.06</v>
      </c>
      <c r="E8" s="61" t="str">
        <f>E26</f>
        <v>EFT</v>
      </c>
      <c r="F8" s="65" t="inlineStr">
        <is>
          <t>AWAITING DL / TW</t>
        </is>
      </c>
      <c r="G8" s="152">
        <f>G26</f>
        <v>46328</v>
      </c>
      <c r="H8" s="67" t="n"/>
      <c r="I8" s="67" t="n"/>
      <c r="J8" s="68" t="inlineStr">
        <is>
          <t>Start Webcast - DL / TW still to approve. Hold until they do.</t>
        </is>
      </c>
      <c r="O8">
        <f>'Complete AV'!K19</f>
        <v>139086.22999999998</v>
      </c>
    </row>
    <row r="9" ht="25.5" customHeight="1" s="109">
      <c r="A9" s="56" t="inlineStr">
        <is>
          <t>Contact Group</t>
        </is>
      </c>
      <c r="B9" s="57" t="inlineStr">
        <is>
          <t>INV457215 + INV457214 - DTTL Hobart fitout</t>
        </is>
      </c>
      <c r="C9" s="147" t="n">
        <v>46327</v>
      </c>
      <c r="D9" s="148">
        <f>D27+D28</f>
        <v>10555.92</v>
      </c>
      <c r="E9" s="56" t="inlineStr">
        <is>
          <t>EFT</t>
        </is>
      </c>
      <c r="F9" s="22" t="inlineStr">
        <is>
          <t>Due this week</t>
        </is>
      </c>
      <c r="G9" s="149" t="n">
        <v>46328</v>
      </c>
      <c r="J9" s="115" t="inlineStr">
        <is>
          <t>Due Sun 1 Nov - in the run.</t>
        </is>
      </c>
      <c r="O9">
        <f>25155-5155</f>
        <v>20000</v>
      </c>
    </row>
    <row r="10">
      <c r="A10" s="56" t="str">
        <f>A29</f>
        <v>SPACERA</v>
      </c>
      <c r="B10" s="57" t="str">
        <f>B29</f>
        <v>INV-0060 - Aware Super national support October</v>
      </c>
      <c r="C10" s="147">
        <f>C29</f>
        <v>46326</v>
      </c>
      <c r="D10" s="148">
        <f>D29</f>
        <v>5728.8</v>
      </c>
      <c r="E10" s="56" t="str">
        <f>E29</f>
        <v>EFT</v>
      </c>
      <c r="F10" s="22" t="inlineStr">
        <is>
          <t>Due this week</t>
        </is>
      </c>
      <c r="G10" s="149">
        <f>G29</f>
        <v>46328</v>
      </c>
      <c r="J10" s="115" t="inlineStr">
        <is>
          <t>Spacera Oct - in the run.</t>
        </is>
      </c>
      <c r="O10">
        <f>O8-O9</f>
        <v>119086.22999999998</v>
      </c>
    </row>
    <row r="11">
      <c r="A11" s="56" t="str">
        <f>A30</f>
        <v>Easton Belle</v>
      </c>
      <c r="B11" s="57" t="str">
        <f>B30</f>
        <v>INV00004009 - legal fees, general commercial file</v>
      </c>
      <c r="C11" s="147">
        <f>C30</f>
        <v>46325</v>
      </c>
      <c r="D11" s="148">
        <f>D30</f>
        <v>3932.5</v>
      </c>
      <c r="E11" s="56" t="str">
        <f>E30</f>
        <v>EFT</v>
      </c>
      <c r="F11" s="22" t="inlineStr">
        <is>
          <t>Due this week</t>
        </is>
      </c>
      <c r="G11" s="149">
        <f>G30</f>
        <v>46328</v>
      </c>
      <c r="J11" s="115" t="inlineStr">
        <is>
          <t>Easton Belle - DL approved, in the run.</t>
        </is>
      </c>
    </row>
    <row r="12">
      <c r="A12" s="56" t="inlineStr">
        <is>
          <t>Headroom / Hire Intelligence / 2020 Events / Employsure / Type Transcripts / Ricoh</t>
        </is>
      </c>
      <c r="B12" s="57" t="inlineStr">
        <is>
          <t>Small ones due by 4 Nov</t>
        </is>
      </c>
      <c r="C12" s="147" t="n">
        <v>46330</v>
      </c>
      <c r="D12" s="148">
        <f>SUM(D31:D36)</f>
        <v>9270.97</v>
      </c>
      <c r="E12" s="56" t="inlineStr">
        <is>
          <t>EFT</t>
        </is>
      </c>
      <c r="F12" s="22" t="inlineStr">
        <is>
          <t>Due this week</t>
        </is>
      </c>
      <c r="G12" s="149" t="n">
        <v>46328</v>
      </c>
      <c r="J12" s="115" t="inlineStr">
        <is>
          <t>All MH approved except Employsure (overdue) and Ricoh (DD).</t>
        </is>
      </c>
      <c r="O12">
        <f>O10+25155</f>
        <v>144241.22999999998</v>
      </c>
    </row>
    <row r="13">
      <c r="A13" s="56" t="str">
        <f>A65</f>
        <v>Investa Asset Management</v>
      </c>
      <c r="B13" s="57" t="str">
        <f>B65</f>
        <v>Rent November 2026 (Oct was $28,895.72)</v>
      </c>
      <c r="C13" s="147">
        <f>C65</f>
        <v>46327</v>
      </c>
      <c r="D13" s="148">
        <f>D65</f>
        <v>28895.72</v>
      </c>
      <c r="E13" s="56" t="str">
        <f>E65</f>
        <v>EFT</v>
      </c>
      <c r="F13" s="22" t="inlineStr">
        <is>
          <t>Due this week</t>
        </is>
      </c>
      <c r="G13" s="149">
        <f>G65</f>
        <v>46328</v>
      </c>
      <c r="J13" s="115" t="inlineStr">
        <is>
          <t>Investa Nov rent - template, pay with the run like last month.</t>
        </is>
      </c>
    </row>
    <row r="14">
      <c r="A14" s="56" t="str">
        <f>A66</f>
        <v>Cleveland Partners (8020 Advisors)</v>
      </c>
      <c r="B14" s="57" t="str">
        <f>B66</f>
        <v>Monthly advisory fees - November</v>
      </c>
      <c r="C14" s="147">
        <f>C66</f>
        <v>46328</v>
      </c>
      <c r="D14" s="148">
        <f>D66</f>
        <v>3850</v>
      </c>
      <c r="E14" s="56" t="str">
        <f>E66</f>
        <v>EFT</v>
      </c>
      <c r="F14" s="22" t="inlineStr">
        <is>
          <t>Due this week</t>
        </is>
      </c>
      <c r="G14" s="149">
        <f>G66</f>
        <v>46328</v>
      </c>
      <c r="J14" s="115" t="inlineStr">
        <is>
          <t>8020 Advisors - template, check the Nov invoice has come in.</t>
        </is>
      </c>
    </row>
    <row r="15">
      <c r="A15" s="13" t="inlineStr">
        <is>
          <t>Total this week</t>
        </is>
      </c>
      <c r="B15" s="16" t="n"/>
      <c r="C15" s="16" t="n"/>
      <c r="D15" s="142">
        <f>SUM(D6:D14)</f>
        <v>160337.61</v>
      </c>
      <c r="E15" s="16" t="n"/>
      <c r="F15" s="16" t="n"/>
      <c r="G15" s="16" t="n"/>
      <c r="H15" s="16" t="n"/>
      <c r="I15" s="16" t="n"/>
      <c r="J15" s="16" t="n"/>
    </row>
    <row r="16">
      <c r="A16" s="29" t="inlineStr">
        <is>
          <t>of which agreed / due this week (excludes Start Webcast until DL / TW approve)</t>
        </is>
      </c>
      <c r="D16" s="143">
        <f>SUMIFS(D6:D14,F6:F14,"AGREED - PAY")+SUMIFS(D6:D14,F6:F14,"Due this week")</f>
        <v>147550.55</v>
      </c>
    </row>
    <row r="17" ht="30" customHeight="1" s="109">
      <c r="A17" s="113" t="inlineStr">
        <is>
          <t>ALL OPEN BILLS AND OCTOBER TEMPLATES</t>
        </is>
      </c>
    </row>
    <row r="18" ht="30" customHeight="1" s="109">
      <c r="A18" s="113" t="inlineStr">
        <is>
          <t>Supplier</t>
        </is>
      </c>
      <c r="B18" s="113" t="inlineStr">
        <is>
          <t>Bill / reference</t>
        </is>
      </c>
      <c r="C18" s="113" t="inlineStr">
        <is>
          <t>Due date</t>
        </is>
      </c>
      <c r="D18" s="113" t="inlineStr">
        <is>
          <t>Amount (incl GST)</t>
        </is>
      </c>
      <c r="E18" s="113" t="inlineStr">
        <is>
          <t>Method</t>
        </is>
      </c>
      <c r="F18" s="113" t="inlineStr">
        <is>
          <t>P&amp;L category</t>
        </is>
      </c>
      <c r="G18" s="113" t="inlineStr">
        <is>
          <t>Planned payment date</t>
        </is>
      </c>
      <c r="H18" s="113" t="inlineStr">
        <is>
          <t>Week</t>
        </is>
      </c>
      <c r="I18" s="113" t="inlineStr">
        <is>
          <t>Source</t>
        </is>
      </c>
      <c r="J18" s="113" t="inlineStr">
        <is>
          <t>Notes</t>
        </is>
      </c>
      <c r="K18" s="113" t="inlineStr">
        <is>
          <t>Counted in the category lines? (open Xero bills move to the creditors run)</t>
        </is>
      </c>
    </row>
    <row r="19" ht="24" customHeight="1" s="109">
      <c r="A19" s="18" t="inlineStr">
        <is>
          <t>Brookvale Insurance Brokers</t>
        </is>
      </c>
      <c r="B19" s="110" t="inlineStr">
        <is>
          <t>INV1918462 - IT liability insurance (annual)</t>
        </is>
      </c>
      <c r="C19" s="137" t="n">
        <v>46325</v>
      </c>
      <c r="D19" s="138" t="n">
        <v>35304.46</v>
      </c>
      <c r="E19" s="33" t="inlineStr">
        <is>
          <t>EFT</t>
        </is>
      </c>
      <c r="F19" s="33" t="inlineStr">
        <is>
          <t>Insurance</t>
        </is>
      </c>
      <c r="G19" s="137" t="n">
        <v>46328</v>
      </c>
      <c r="H19" s="18">
        <f>IF(G19&lt;Assumptions!$B$5,"Before",IF(G19&gt;Assumptions!$C$48,"After",INT((G19-Assumptions!$B$5)/7)+1))</f>
        <v>1</v>
      </c>
      <c r="I19" s="18" t="inlineStr">
        <is>
          <t>Xero bill</t>
        </is>
      </c>
      <c r="J19" s="115" t="inlineStr">
        <is>
          <t>GC approved. In the 2 Nov run.</t>
        </is>
      </c>
      <c r="K19" s="18" t="str">
        <f>IF(AND('Creditors Run'!$B$5=1,I19="Xero bill",LEFT(J19,4)&lt;&gt;"PAID"),"No - in the creditors run","Yes")</f>
        <v>No - in the creditors run</v>
      </c>
    </row>
    <row r="20" ht="38.25" customHeight="1" s="109">
      <c r="A20" s="18" t="inlineStr">
        <is>
          <t>Brookvale Insurance Brokers</t>
        </is>
      </c>
      <c r="B20" s="110" t="inlineStr">
        <is>
          <t>INV1918336 - removable / electronic equipment insurance (annual)</t>
        </is>
      </c>
      <c r="C20" s="137" t="n">
        <v>46325</v>
      </c>
      <c r="D20" s="138" t="n">
        <v>11283.16</v>
      </c>
      <c r="E20" s="33" t="inlineStr">
        <is>
          <t>EFT</t>
        </is>
      </c>
      <c r="F20" s="33" t="inlineStr">
        <is>
          <t>Insurance</t>
        </is>
      </c>
      <c r="G20" s="137" t="n">
        <v>46328</v>
      </c>
      <c r="H20" s="18">
        <f>IF(G20&lt;Assumptions!$B$5,"Before",IF(G20&gt;Assumptions!$C$48,"After",INT((G20-Assumptions!$B$5)/7)+1))</f>
        <v>1</v>
      </c>
      <c r="I20" s="18" t="inlineStr">
        <is>
          <t>Xero bill</t>
        </is>
      </c>
      <c r="J20" s="115" t="inlineStr">
        <is>
          <t>GC approved. In the 2 Nov run.</t>
        </is>
      </c>
      <c r="K20" s="18" t="str">
        <f>IF(AND('Creditors Run'!$B$5=1,I20="Xero bill",LEFT(J20,4)&lt;&gt;"PAID"),"No - in the creditors run","Yes")</f>
        <v>No - in the creditors run</v>
      </c>
    </row>
    <row r="21" ht="72" customHeight="1" s="109">
      <c r="A21" s="18" t="inlineStr">
        <is>
          <t>Brookvale Insurance Brokers</t>
        </is>
      </c>
      <c r="B21" s="110" t="inlineStr">
        <is>
          <t>INV1918436 - Mecon contract works insurance (annual)</t>
        </is>
      </c>
      <c r="C21" s="137" t="n">
        <v>46325</v>
      </c>
      <c r="D21" s="138" t="n">
        <v>8020.39</v>
      </c>
      <c r="E21" s="33" t="inlineStr">
        <is>
          <t>EFT</t>
        </is>
      </c>
      <c r="F21" s="33" t="inlineStr">
        <is>
          <t>Insurance</t>
        </is>
      </c>
      <c r="G21" s="137" t="n">
        <v>46328</v>
      </c>
      <c r="H21" s="18">
        <f>IF(G21&lt;Assumptions!$B$5,"Before",IF(G21&gt;Assumptions!$C$48,"After",INT((G21-Assumptions!$B$5)/7)+1))</f>
        <v>1</v>
      </c>
      <c r="I21" s="18" t="inlineStr">
        <is>
          <t>Xero bill</t>
        </is>
      </c>
      <c r="J21" s="115" t="inlineStr">
        <is>
          <t>GC approved. In the 2 Nov run.</t>
        </is>
      </c>
      <c r="K21" s="18" t="str">
        <f>IF(AND('Creditors Run'!$B$5=1,I21="Xero bill",LEFT(J21,4)&lt;&gt;"PAID"),"No - in the creditors run","Yes")</f>
        <v>No - in the creditors run</v>
      </c>
    </row>
    <row r="22">
      <c r="A22" s="18" t="inlineStr">
        <is>
          <t>Brookvale Insurance Brokers</t>
        </is>
      </c>
      <c r="B22" s="110" t="inlineStr">
        <is>
          <t>INV1920058 - management liability insurance (annual)</t>
        </is>
      </c>
      <c r="C22" s="137" t="n">
        <v>46325</v>
      </c>
      <c r="D22" s="138" t="n">
        <v>6778.21</v>
      </c>
      <c r="E22" s="33" t="inlineStr">
        <is>
          <t>EFT</t>
        </is>
      </c>
      <c r="F22" s="33" t="inlineStr">
        <is>
          <t>Insurance</t>
        </is>
      </c>
      <c r="G22" s="137" t="n">
        <v>46328</v>
      </c>
      <c r="H22" s="18">
        <f>IF(G22&lt;Assumptions!$B$5,"Before",IF(G22&gt;Assumptions!$C$48,"After",INT((G22-Assumptions!$B$5)/7)+1))</f>
        <v>1</v>
      </c>
      <c r="I22" s="18" t="inlineStr">
        <is>
          <t>Xero bill</t>
        </is>
      </c>
      <c r="J22" s="115" t="inlineStr">
        <is>
          <t>GC approved. In the 2 Nov run.</t>
        </is>
      </c>
      <c r="K22" s="18" t="str">
        <f>IF(AND('Creditors Run'!$B$5=1,I22="Xero bill",LEFT(J22,4)&lt;&gt;"PAID"),"No - in the creditors run","Yes")</f>
        <v>No - in the creditors run</v>
      </c>
    </row>
    <row r="23">
      <c r="A23" s="18" t="inlineStr">
        <is>
          <t>Brookvale Insurance Brokers</t>
        </is>
      </c>
      <c r="B23" s="110" t="inlineStr">
        <is>
          <t>INV1920113 - business pack insurance (annual)</t>
        </is>
      </c>
      <c r="C23" s="137" t="n">
        <v>46325</v>
      </c>
      <c r="D23" s="138" t="n">
        <v>3510.52</v>
      </c>
      <c r="E23" s="33" t="inlineStr">
        <is>
          <t>EFT</t>
        </is>
      </c>
      <c r="F23" s="33" t="inlineStr">
        <is>
          <t>Insurance</t>
        </is>
      </c>
      <c r="G23" s="137" t="n">
        <v>46328</v>
      </c>
      <c r="H23" s="18">
        <f>IF(G23&lt;Assumptions!$B$5,"Before",IF(G23&gt;Assumptions!$C$48,"After",INT((G23-Assumptions!$B$5)/7)+1))</f>
        <v>1</v>
      </c>
      <c r="I23" s="18" t="inlineStr">
        <is>
          <t>Xero bill</t>
        </is>
      </c>
      <c r="J23" s="115" t="inlineStr">
        <is>
          <t>GC approved. In the 2 Nov run.</t>
        </is>
      </c>
      <c r="K23" s="18" t="str">
        <f>IF(AND('Creditors Run'!$B$5=1,I23="Xero bill",LEFT(J23,4)&lt;&gt;"PAID"),"No - in the creditors run","Yes")</f>
        <v>No - in the creditors run</v>
      </c>
    </row>
    <row r="24">
      <c r="A24" s="18" t="inlineStr">
        <is>
          <t>Brookvale Insurance Brokers</t>
        </is>
      </c>
      <c r="B24" s="110" t="inlineStr">
        <is>
          <t>INV1914759 - corporate travel insurance (annual)</t>
        </is>
      </c>
      <c r="C24" s="137" t="n">
        <v>46325</v>
      </c>
      <c r="D24" s="138" t="n">
        <v>1342.24</v>
      </c>
      <c r="E24" s="33" t="inlineStr">
        <is>
          <t>EFT</t>
        </is>
      </c>
      <c r="F24" s="33" t="inlineStr">
        <is>
          <t>Insurance</t>
        </is>
      </c>
      <c r="G24" s="137" t="n">
        <v>46328</v>
      </c>
      <c r="H24" s="18">
        <f>IF(G24&lt;Assumptions!$B$5,"Before",IF(G24&gt;Assumptions!$C$48,"After",INT((G24-Assumptions!$B$5)/7)+1))</f>
        <v>1</v>
      </c>
      <c r="I24" s="18" t="inlineStr">
        <is>
          <t>Xero bill</t>
        </is>
      </c>
      <c r="J24" s="115" t="inlineStr">
        <is>
          <t>GC approved. In the 2 Nov run.</t>
        </is>
      </c>
      <c r="K24" s="18" t="str">
        <f>IF(AND('Creditors Run'!$B$5=1,I24="Xero bill",LEFT(J24,4)&lt;&gt;"PAID"),"No - in the creditors run","Yes")</f>
        <v>No - in the creditors run</v>
      </c>
    </row>
    <row r="25">
      <c r="A25" s="18" t="inlineStr">
        <is>
          <t>Appspace</t>
        </is>
      </c>
      <c r="B25" s="110" t="inlineStr">
        <is>
          <t>INV00133660 - Appspace licensing for Aware Super (balance)</t>
        </is>
      </c>
      <c r="C25" s="137" t="n">
        <v>46319</v>
      </c>
      <c r="D25" s="138" t="n">
        <v>19077.66</v>
      </c>
      <c r="E25" s="33" t="inlineStr">
        <is>
          <t>EFT</t>
        </is>
      </c>
      <c r="F25" s="33" t="inlineStr">
        <is>
          <t>Client subscriptions</t>
        </is>
      </c>
      <c r="G25" s="137" t="n">
        <v>46328</v>
      </c>
      <c r="H25" s="18">
        <f>IF(G25&lt;Assumptions!$B$5,"Before",IF(G25&gt;Assumptions!$C$48,"After",INT((G25-Assumptions!$B$5)/7)+1))</f>
        <v>1</v>
      </c>
      <c r="I25" s="18" t="inlineStr">
        <is>
          <t>Xero bill</t>
        </is>
      </c>
      <c r="J25" s="115" t="inlineStr">
        <is>
          <t>Overdue - Aware paid us for it 20 Oct. $19,077.66 left on it in Xero. In the 2 Nov run.</t>
        </is>
      </c>
      <c r="K25" s="18" t="str">
        <f>IF(AND('Creditors Run'!$B$5=1,I25="Xero bill",LEFT(J25,4)&lt;&gt;"PAID"),"No - in the creditors run","Yes")</f>
        <v>No - in the creditors run</v>
      </c>
    </row>
    <row r="26">
      <c r="A26" s="18" t="inlineStr">
        <is>
          <t>Start Webcast</t>
        </is>
      </c>
      <c r="B26" s="110" t="inlineStr">
        <is>
          <t>INV-202222 - CBA AGM 2026 equipment &amp; services</t>
        </is>
      </c>
      <c r="C26" s="137" t="n">
        <v>46324</v>
      </c>
      <c r="D26" s="138" t="n">
        <v>12787.06</v>
      </c>
      <c r="E26" s="33" t="inlineStr">
        <is>
          <t>EFT</t>
        </is>
      </c>
      <c r="F26" s="33" t="inlineStr">
        <is>
          <t>Equipment &amp; service hires</t>
        </is>
      </c>
      <c r="G26" s="137" t="n">
        <v>46328</v>
      </c>
      <c r="H26" s="18">
        <f>IF(G26&lt;Assumptions!$B$5,"Before",IF(G26&gt;Assumptions!$C$48,"After",INT((G26-Assumptions!$B$5)/7)+1))</f>
        <v>1</v>
      </c>
      <c r="I26" s="18" t="inlineStr">
        <is>
          <t>Xero bill</t>
        </is>
      </c>
      <c r="J26" s="115" t="inlineStr">
        <is>
          <t>DL / TW still to approve. In the 2 Nov run once approved.</t>
        </is>
      </c>
      <c r="K26" s="18" t="str">
        <f>IF(AND('Creditors Run'!$B$5=1,I26="Xero bill",LEFT(J26,4)&lt;&gt;"PAID"),"No - in the creditors run","Yes")</f>
        <v>No - in the creditors run</v>
      </c>
    </row>
    <row r="27">
      <c r="A27" s="18" t="inlineStr">
        <is>
          <t>Contact Group</t>
        </is>
      </c>
      <c r="B27" s="110" t="inlineStr">
        <is>
          <t>INV457215 - DTTL Hobart AV fitout equipment &amp; labour</t>
        </is>
      </c>
      <c r="C27" s="137" t="n">
        <v>46327</v>
      </c>
      <c r="D27" s="138" t="n">
        <v>9652.540000000001</v>
      </c>
      <c r="E27" s="33" t="inlineStr">
        <is>
          <t>EFT</t>
        </is>
      </c>
      <c r="F27" s="33" t="inlineStr">
        <is>
          <t>Equipment purchases</t>
        </is>
      </c>
      <c r="G27" s="137" t="n">
        <v>46328</v>
      </c>
      <c r="H27" s="18">
        <f>IF(G27&lt;Assumptions!$B$5,"Before",IF(G27&gt;Assumptions!$C$48,"After",INT((G27-Assumptions!$B$5)/7)+1))</f>
        <v>1</v>
      </c>
      <c r="I27" s="18" t="inlineStr">
        <is>
          <t>Xero bill</t>
        </is>
      </c>
      <c r="J27" s="115" t="inlineStr">
        <is>
          <t>In the 2 Nov run.</t>
        </is>
      </c>
      <c r="K27" s="18" t="str">
        <f>IF(AND('Creditors Run'!$B$5=1,I27="Xero bill",LEFT(J27,4)&lt;&gt;"PAID"),"No - in the creditors run","Yes")</f>
        <v>No - in the creditors run</v>
      </c>
    </row>
    <row r="28" ht="25.5" customHeight="1" s="109">
      <c r="A28" s="18" t="inlineStr">
        <is>
          <t>Contact Group</t>
        </is>
      </c>
      <c r="B28" s="110" t="inlineStr">
        <is>
          <t>INV457214 - DTTL Hobart AV fitout equipment</t>
        </is>
      </c>
      <c r="C28" s="137" t="n">
        <v>46327</v>
      </c>
      <c r="D28" s="138" t="n">
        <v>903.38</v>
      </c>
      <c r="E28" s="33" t="inlineStr">
        <is>
          <t>EFT</t>
        </is>
      </c>
      <c r="F28" s="33" t="inlineStr">
        <is>
          <t>Equipment purchases</t>
        </is>
      </c>
      <c r="G28" s="137" t="n">
        <v>46328</v>
      </c>
      <c r="H28" s="18">
        <f>IF(G28&lt;Assumptions!$B$5,"Before",IF(G28&gt;Assumptions!$C$48,"After",INT((G28-Assumptions!$B$5)/7)+1))</f>
        <v>1</v>
      </c>
      <c r="I28" s="18" t="inlineStr">
        <is>
          <t>Xero bill</t>
        </is>
      </c>
      <c r="J28" s="115" t="inlineStr">
        <is>
          <t>In the 2 Nov run.</t>
        </is>
      </c>
      <c r="K28" s="18" t="str">
        <f>IF(AND('Creditors Run'!$B$5=1,I28="Xero bill",LEFT(J28,4)&lt;&gt;"PAID"),"No - in the creditors run","Yes")</f>
        <v>No - in the creditors run</v>
      </c>
    </row>
    <row r="29">
      <c r="A29" s="18" t="inlineStr">
        <is>
          <t>SPACERA</t>
        </is>
      </c>
      <c r="B29" s="110" t="inlineStr">
        <is>
          <t>INV-0060 - Aware Super national support October</t>
        </is>
      </c>
      <c r="C29" s="137" t="n">
        <v>46326</v>
      </c>
      <c r="D29" s="138" t="n">
        <v>5728.8</v>
      </c>
      <c r="E29" s="33" t="inlineStr">
        <is>
          <t>EFT</t>
        </is>
      </c>
      <c r="F29" s="33" t="inlineStr">
        <is>
          <t>Client subscriptions</t>
        </is>
      </c>
      <c r="G29" s="137" t="n">
        <v>46328</v>
      </c>
      <c r="H29" s="18">
        <f>IF(G29&lt;Assumptions!$B$5,"Before",IF(G29&gt;Assumptions!$C$48,"After",INT((G29-Assumptions!$B$5)/7)+1))</f>
        <v>1</v>
      </c>
      <c r="I29" s="18" t="inlineStr">
        <is>
          <t>Xero bill</t>
        </is>
      </c>
      <c r="J29" s="115" t="inlineStr">
        <is>
          <t>In the 2 Nov run.</t>
        </is>
      </c>
      <c r="K29" s="18" t="str">
        <f>IF(AND('Creditors Run'!$B$5=1,I29="Xero bill",LEFT(J29,4)&lt;&gt;"PAID"),"No - in the creditors run","Yes")</f>
        <v>No - in the creditors run</v>
      </c>
    </row>
    <row r="30">
      <c r="A30" s="18" t="inlineStr">
        <is>
          <t>Easton Belle</t>
        </is>
      </c>
      <c r="B30" s="110" t="inlineStr">
        <is>
          <t>INV00004009 - legal fees, general commercial file</t>
        </is>
      </c>
      <c r="C30" s="137" t="n">
        <v>46325</v>
      </c>
      <c r="D30" s="138" t="n">
        <v>3932.5</v>
      </c>
      <c r="E30" s="33" t="inlineStr">
        <is>
          <t>EFT</t>
        </is>
      </c>
      <c r="F30" s="33" t="inlineStr">
        <is>
          <t>Professional fees</t>
        </is>
      </c>
      <c r="G30" s="137" t="n">
        <v>46328</v>
      </c>
      <c r="H30" s="18">
        <f>IF(G30&lt;Assumptions!$B$5,"Before",IF(G30&gt;Assumptions!$C$48,"After",INT((G30-Assumptions!$B$5)/7)+1))</f>
        <v>1</v>
      </c>
      <c r="I30" s="18" t="inlineStr">
        <is>
          <t>Xero bill</t>
        </is>
      </c>
      <c r="J30" s="115" t="inlineStr">
        <is>
          <t>DL approved. In the 2 Nov run.</t>
        </is>
      </c>
      <c r="K30" s="18" t="str">
        <f>IF(AND('Creditors Run'!$B$5=1,I30="Xero bill",LEFT(J30,4)&lt;&gt;"PAID"),"No - in the creditors run","Yes")</f>
        <v>No - in the creditors run</v>
      </c>
    </row>
    <row r="31">
      <c r="A31" s="18" t="inlineStr">
        <is>
          <t>Headroom Audio Visual</t>
        </is>
      </c>
      <c r="B31" s="110" t="inlineStr">
        <is>
          <t>INV15 - CBA foldback monitor dry hire 21.10.26</t>
        </is>
      </c>
      <c r="C31" s="137" t="n">
        <v>46325</v>
      </c>
      <c r="D31" s="138" t="n">
        <v>2992</v>
      </c>
      <c r="E31" s="33" t="inlineStr">
        <is>
          <t>EFT</t>
        </is>
      </c>
      <c r="F31" s="33" t="inlineStr">
        <is>
          <t>Equipment &amp; service hires</t>
        </is>
      </c>
      <c r="G31" s="137" t="n">
        <v>46328</v>
      </c>
      <c r="H31" s="18">
        <f>IF(G31&lt;Assumptions!$B$5,"Before",IF(G31&gt;Assumptions!$C$48,"After",INT((G31-Assumptions!$B$5)/7)+1))</f>
        <v>1</v>
      </c>
      <c r="I31" s="18" t="inlineStr">
        <is>
          <t>Xero bill</t>
        </is>
      </c>
      <c r="J31" s="115" t="inlineStr">
        <is>
          <t>MH approved. In the 2 Nov run.</t>
        </is>
      </c>
      <c r="K31" s="18" t="str">
        <f>IF(AND('Creditors Run'!$B$5=1,I31="Xero bill",LEFT(J31,4)&lt;&gt;"PAID"),"No - in the creditors run","Yes")</f>
        <v>No - in the creditors run</v>
      </c>
    </row>
    <row r="32">
      <c r="A32" s="18" t="inlineStr">
        <is>
          <t>Hire Intelligence</t>
        </is>
      </c>
      <c r="B32" s="110" t="inlineStr">
        <is>
          <t>CS167608 - SUN investor day 29.10.26 equipment hire</t>
        </is>
      </c>
      <c r="C32" s="137" t="n">
        <v>46325</v>
      </c>
      <c r="D32" s="138" t="n">
        <v>2585</v>
      </c>
      <c r="E32" s="33" t="inlineStr">
        <is>
          <t>EFT</t>
        </is>
      </c>
      <c r="F32" s="33" t="inlineStr">
        <is>
          <t>Equipment &amp; service hires</t>
        </is>
      </c>
      <c r="G32" s="137" t="n">
        <v>46328</v>
      </c>
      <c r="H32" s="18">
        <f>IF(G32&lt;Assumptions!$B$5,"Before",IF(G32&gt;Assumptions!$C$48,"After",INT((G32-Assumptions!$B$5)/7)+1))</f>
        <v>1</v>
      </c>
      <c r="I32" s="18" t="inlineStr">
        <is>
          <t>Xero bill</t>
        </is>
      </c>
      <c r="J32" s="115" t="inlineStr">
        <is>
          <t>MH approved. In the 2 Nov run.</t>
        </is>
      </c>
      <c r="K32" s="18" t="str">
        <f>IF(AND('Creditors Run'!$B$5=1,I32="Xero bill",LEFT(J32,4)&lt;&gt;"PAID"),"No - in the creditors run","Yes")</f>
        <v>No - in the creditors run</v>
      </c>
    </row>
    <row r="33">
      <c r="A33" s="18" t="inlineStr">
        <is>
          <t>2020 Events</t>
        </is>
      </c>
      <c r="B33" s="110" t="inlineStr">
        <is>
          <t>INV-1611 - Microsoft SME&amp;C townhall 14.10.26 hire</t>
        </is>
      </c>
      <c r="C33" s="137" t="n">
        <v>46330</v>
      </c>
      <c r="D33" s="138" t="n">
        <v>2346.37</v>
      </c>
      <c r="E33" s="33" t="inlineStr">
        <is>
          <t>EFT</t>
        </is>
      </c>
      <c r="F33" s="33" t="inlineStr">
        <is>
          <t>Equipment &amp; service hires</t>
        </is>
      </c>
      <c r="G33" s="137" t="n">
        <v>46330</v>
      </c>
      <c r="H33" s="18">
        <f>IF(G33&lt;Assumptions!$B$5,"Before",IF(G33&gt;Assumptions!$C$48,"After",INT((G33-Assumptions!$B$5)/7)+1))</f>
        <v>1</v>
      </c>
      <c r="I33" s="18" t="inlineStr">
        <is>
          <t>Xero bill</t>
        </is>
      </c>
      <c r="J33" s="115" t="inlineStr">
        <is>
          <t>MH approved, needs the cost split. In the 2 Nov run.</t>
        </is>
      </c>
      <c r="K33" s="18" t="str">
        <f>IF(AND('Creditors Run'!$B$5=1,I33="Xero bill",LEFT(J33,4)&lt;&gt;"PAID"),"No - in the creditors run","Yes")</f>
        <v>No - in the creditors run</v>
      </c>
    </row>
    <row r="34">
      <c r="A34" s="18" t="inlineStr">
        <is>
          <t>Employsure</t>
        </is>
      </c>
      <c r="B34" s="110" t="inlineStr">
        <is>
          <t>42 of 60 - October</t>
        </is>
      </c>
      <c r="C34" s="137" t="n">
        <v>46300</v>
      </c>
      <c r="D34" s="138" t="n">
        <v>880</v>
      </c>
      <c r="E34" s="33" t="inlineStr">
        <is>
          <t>EFT</t>
        </is>
      </c>
      <c r="F34" s="33" t="inlineStr">
        <is>
          <t>Professional fees</t>
        </is>
      </c>
      <c r="G34" s="137" t="n">
        <v>46328</v>
      </c>
      <c r="H34" s="18">
        <f>IF(G34&lt;Assumptions!$B$5,"Before",IF(G34&gt;Assumptions!$C$48,"After",INT((G34-Assumptions!$B$5)/7)+1))</f>
        <v>1</v>
      </c>
      <c r="I34" s="18" t="inlineStr">
        <is>
          <t>Xero bill</t>
        </is>
      </c>
      <c r="J34" s="115" t="inlineStr">
        <is>
          <t>Overdue. In the 2 Nov run.</t>
        </is>
      </c>
      <c r="K34" s="18" t="str">
        <f>IF(AND('Creditors Run'!$B$5=1,I34="Xero bill",LEFT(J34,4)&lt;&gt;"PAID"),"No - in the creditors run","Yes")</f>
        <v>No - in the creditors run</v>
      </c>
    </row>
    <row r="35">
      <c r="A35" s="18" t="inlineStr">
        <is>
          <t>Type Transcripts</t>
        </is>
      </c>
      <c r="B35" s="110" t="inlineStr">
        <is>
          <t>INV6062 - TLC AGM transcription 14.10.2026</t>
        </is>
      </c>
      <c r="C35" s="137" t="n">
        <v>46325</v>
      </c>
      <c r="D35" s="138" t="n">
        <v>257.4</v>
      </c>
      <c r="E35" s="33" t="inlineStr">
        <is>
          <t>EFT</t>
        </is>
      </c>
      <c r="F35" s="33" t="inlineStr">
        <is>
          <t>Equipment &amp; service hires</t>
        </is>
      </c>
      <c r="G35" s="137" t="n">
        <v>46328</v>
      </c>
      <c r="H35" s="18">
        <f>IF(G35&lt;Assumptions!$B$5,"Before",IF(G35&gt;Assumptions!$C$48,"After",INT((G35-Assumptions!$B$5)/7)+1))</f>
        <v>1</v>
      </c>
      <c r="I35" s="18" t="inlineStr">
        <is>
          <t>Xero bill</t>
        </is>
      </c>
      <c r="J35" s="115" t="inlineStr">
        <is>
          <t>MH approved. In the 2 Nov run.</t>
        </is>
      </c>
      <c r="K35" s="18" t="str">
        <f>IF(AND('Creditors Run'!$B$5=1,I35="Xero bill",LEFT(J35,4)&lt;&gt;"PAID"),"No - in the creditors run","Yes")</f>
        <v>No - in the creditors run</v>
      </c>
    </row>
    <row r="36">
      <c r="A36" s="18" t="inlineStr">
        <is>
          <t>Ricoh Australia</t>
        </is>
      </c>
      <c r="B36" s="110" t="inlineStr">
        <is>
          <t>INV15775235 - printing Sep</t>
        </is>
      </c>
      <c r="C36" s="137" t="n">
        <v>46326</v>
      </c>
      <c r="D36" s="138" t="n">
        <v>210.2</v>
      </c>
      <c r="E36" s="33" t="inlineStr">
        <is>
          <t>DD</t>
        </is>
      </c>
      <c r="F36" s="33" t="inlineStr">
        <is>
          <t>Office</t>
        </is>
      </c>
      <c r="G36" s="137" t="n">
        <v>46328</v>
      </c>
      <c r="H36" s="18">
        <f>IF(G36&lt;Assumptions!$B$5,"Before",IF(G36&gt;Assumptions!$C$48,"After",INT((G36-Assumptions!$B$5)/7)+1))</f>
        <v>1</v>
      </c>
      <c r="I36" s="18" t="inlineStr">
        <is>
          <t>Xero bill</t>
        </is>
      </c>
      <c r="J36" s="115" t="inlineStr">
        <is>
          <t>Direct debit.</t>
        </is>
      </c>
      <c r="K36" s="18" t="str">
        <f>IF(AND('Creditors Run'!$B$5=1,I36="Xero bill",LEFT(J36,4)&lt;&gt;"PAID"),"No - in the creditors run","Yes")</f>
        <v>No - in the creditors run</v>
      </c>
    </row>
    <row r="37">
      <c r="A37" s="18" t="inlineStr">
        <is>
          <t>2020 Events</t>
        </is>
      </c>
      <c r="B37" s="110" t="inlineStr">
        <is>
          <t>INV-1618 - Cochlear AGM 26.10.26 hire</t>
        </is>
      </c>
      <c r="C37" s="137" t="n">
        <v>46335</v>
      </c>
      <c r="D37" s="138" t="n">
        <v>5665</v>
      </c>
      <c r="E37" s="33" t="inlineStr">
        <is>
          <t>EFT</t>
        </is>
      </c>
      <c r="F37" s="33" t="inlineStr">
        <is>
          <t>Equipment &amp; service hires</t>
        </is>
      </c>
      <c r="G37" s="137" t="n">
        <v>46335</v>
      </c>
      <c r="H37" s="18">
        <f>IF(G37&lt;Assumptions!$B$5,"Before",IF(G37&gt;Assumptions!$C$48,"After",INT((G37-Assumptions!$B$5)/7)+1))</f>
        <v>2</v>
      </c>
      <c r="I37" s="18" t="inlineStr">
        <is>
          <t>Xero bill</t>
        </is>
      </c>
      <c r="J37" s="115" t="inlineStr">
        <is>
          <t>MH approved, needs the quote to split costs. On the due date.</t>
        </is>
      </c>
      <c r="K37" s="18" t="str">
        <f>IF(AND('Creditors Run'!$B$5=1,I37="Xero bill",LEFT(J37,4)&lt;&gt;"PAID"),"No - in the creditors run","Yes")</f>
        <v>No - in the creditors run</v>
      </c>
    </row>
    <row r="38">
      <c r="A38" s="18" t="inlineStr">
        <is>
          <t>WordBirds</t>
        </is>
      </c>
      <c r="B38" s="110" t="inlineStr">
        <is>
          <t>INV-2016 - ASX AGM 22.10.26 services</t>
        </is>
      </c>
      <c r="C38" s="137" t="n">
        <v>46335</v>
      </c>
      <c r="D38" s="138" t="n">
        <v>5063.5</v>
      </c>
      <c r="E38" s="33" t="inlineStr">
        <is>
          <t>EFT</t>
        </is>
      </c>
      <c r="F38" s="33" t="inlineStr">
        <is>
          <t>Equipment &amp; service hires</t>
        </is>
      </c>
      <c r="G38" s="137" t="n">
        <v>46335</v>
      </c>
      <c r="H38" s="18">
        <f>IF(G38&lt;Assumptions!$B$5,"Before",IF(G38&gt;Assumptions!$C$48,"After",INT((G38-Assumptions!$B$5)/7)+1))</f>
        <v>2</v>
      </c>
      <c r="I38" s="18" t="inlineStr">
        <is>
          <t>Xero bill</t>
        </is>
      </c>
      <c r="J38" s="115" t="inlineStr">
        <is>
          <t>MH approved. On the due date.</t>
        </is>
      </c>
      <c r="K38" s="18" t="str">
        <f>IF(AND('Creditors Run'!$B$5=1,I38="Xero bill",LEFT(J38,4)&lt;&gt;"PAID"),"No - in the creditors run","Yes")</f>
        <v>No - in the creditors run</v>
      </c>
    </row>
    <row r="39">
      <c r="A39" s="18" t="inlineStr">
        <is>
          <t>WordBirds</t>
        </is>
      </c>
      <c r="B39" s="110" t="inlineStr">
        <is>
          <t>INV-2019 - Cochlear AGM 26.10.26 services</t>
        </is>
      </c>
      <c r="C39" s="137" t="n">
        <v>46336</v>
      </c>
      <c r="D39" s="138" t="n">
        <v>3267</v>
      </c>
      <c r="E39" s="33" t="inlineStr">
        <is>
          <t>EFT</t>
        </is>
      </c>
      <c r="F39" s="33" t="inlineStr">
        <is>
          <t>Equipment &amp; service hires</t>
        </is>
      </c>
      <c r="G39" s="137" t="n">
        <v>46336</v>
      </c>
      <c r="H39" s="18">
        <f>IF(G39&lt;Assumptions!$B$5,"Before",IF(G39&gt;Assumptions!$C$48,"After",INT((G39-Assumptions!$B$5)/7)+1))</f>
        <v>2</v>
      </c>
      <c r="I39" s="18" t="inlineStr">
        <is>
          <t>Xero bill</t>
        </is>
      </c>
      <c r="J39" s="115" t="inlineStr">
        <is>
          <t>MH approved. On the due date.</t>
        </is>
      </c>
      <c r="K39" s="18" t="str">
        <f>IF(AND('Creditors Run'!$B$5=1,I39="Xero bill",LEFT(J39,4)&lt;&gt;"PAID"),"No - in the creditors run","Yes")</f>
        <v>No - in the creditors run</v>
      </c>
    </row>
    <row r="40">
      <c r="A40" s="18" t="inlineStr">
        <is>
          <t>Dubology Studios</t>
        </is>
      </c>
      <c r="B40" s="110" t="inlineStr">
        <is>
          <t>INV26-12398 - Microsoft SME&amp;C and CBA LES Oct services</t>
        </is>
      </c>
      <c r="C40" s="137" t="n">
        <v>46335</v>
      </c>
      <c r="D40" s="138" t="n">
        <v>2117.5</v>
      </c>
      <c r="E40" s="33" t="inlineStr">
        <is>
          <t>EFT</t>
        </is>
      </c>
      <c r="F40" s="33" t="inlineStr">
        <is>
          <t>Equipment &amp; service hires</t>
        </is>
      </c>
      <c r="G40" s="137" t="n">
        <v>46335</v>
      </c>
      <c r="H40" s="18">
        <f>IF(G40&lt;Assumptions!$B$5,"Before",IF(G40&gt;Assumptions!$C$48,"After",INT((G40-Assumptions!$B$5)/7)+1))</f>
        <v>2</v>
      </c>
      <c r="I40" s="18" t="inlineStr">
        <is>
          <t>Xero bill</t>
        </is>
      </c>
      <c r="J40" s="115" t="inlineStr">
        <is>
          <t>MH approved. On the due date.</t>
        </is>
      </c>
      <c r="K40" s="18" t="str">
        <f>IF(AND('Creditors Run'!$B$5=1,I40="Xero bill",LEFT(J40,4)&lt;&gt;"PAID"),"No - in the creditors run","Yes")</f>
        <v>No - in the creditors run</v>
      </c>
    </row>
    <row r="41">
      <c r="A41" s="18" t="inlineStr">
        <is>
          <t>Deaf Services</t>
        </is>
      </c>
      <c r="B41" s="110" t="inlineStr">
        <is>
          <t>INV409016 - CBA AGM 2026 services</t>
        </is>
      </c>
      <c r="C41" s="137" t="n">
        <v>46335</v>
      </c>
      <c r="D41" s="138" t="n">
        <v>310.75</v>
      </c>
      <c r="E41" s="33" t="inlineStr">
        <is>
          <t>EFT</t>
        </is>
      </c>
      <c r="F41" s="33" t="inlineStr">
        <is>
          <t>Equipment &amp; service hires</t>
        </is>
      </c>
      <c r="G41" s="137" t="n">
        <v>46335</v>
      </c>
      <c r="H41" s="18">
        <f>IF(G41&lt;Assumptions!$B$5,"Before",IF(G41&gt;Assumptions!$C$48,"After",INT((G41-Assumptions!$B$5)/7)+1))</f>
        <v>2</v>
      </c>
      <c r="I41" s="18" t="inlineStr">
        <is>
          <t>Xero bill</t>
        </is>
      </c>
      <c r="J41" s="115" t="inlineStr">
        <is>
          <t>DL / TW to approve and confirm the cost centre.</t>
        </is>
      </c>
      <c r="K41" s="18" t="str">
        <f>IF(AND('Creditors Run'!$B$5=1,I41="Xero bill",LEFT(J41,4)&lt;&gt;"PAID"),"No - in the creditors run","Yes")</f>
        <v>No - in the creditors run</v>
      </c>
    </row>
    <row r="42">
      <c r="A42" s="18" t="inlineStr">
        <is>
          <t>Optus</t>
        </is>
      </c>
      <c r="B42" s="110" t="inlineStr">
        <is>
          <t>INV000600307641 - staff mobiles Oct</t>
        </is>
      </c>
      <c r="C42" s="137" t="n">
        <v>46335</v>
      </c>
      <c r="D42" s="138" t="n">
        <v>840.98</v>
      </c>
      <c r="E42" s="33" t="inlineStr">
        <is>
          <t>BPAY</t>
        </is>
      </c>
      <c r="F42" s="33" t="inlineStr">
        <is>
          <t>Telephone &amp; internet</t>
        </is>
      </c>
      <c r="G42" s="137" t="n">
        <v>46335</v>
      </c>
      <c r="H42" s="18">
        <f>IF(G42&lt;Assumptions!$B$5,"Before",IF(G42&gt;Assumptions!$C$48,"After",INT((G42-Assumptions!$B$5)/7)+1))</f>
        <v>2</v>
      </c>
      <c r="I42" s="18" t="inlineStr">
        <is>
          <t>Xero bill</t>
        </is>
      </c>
      <c r="J42" s="115" t="inlineStr">
        <is>
          <t>BPAY on the due date.</t>
        </is>
      </c>
      <c r="K42" s="18" t="str">
        <f>IF(AND('Creditors Run'!$B$5=1,I42="Xero bill",LEFT(J42,4)&lt;&gt;"PAID"),"No - in the creditors run","Yes")</f>
        <v>No - in the creditors run</v>
      </c>
    </row>
    <row r="43">
      <c r="A43" s="18" t="inlineStr">
        <is>
          <t>Posh Services (Ambius)</t>
        </is>
      </c>
      <c r="B43" s="110" t="inlineStr">
        <is>
          <t>INV21742621 - indoor plants Oct</t>
        </is>
      </c>
      <c r="C43" s="137" t="n">
        <v>46334</v>
      </c>
      <c r="D43" s="138" t="n">
        <v>245</v>
      </c>
      <c r="E43" s="33" t="inlineStr">
        <is>
          <t>EFT</t>
        </is>
      </c>
      <c r="F43" s="33" t="inlineStr">
        <is>
          <t>Office</t>
        </is>
      </c>
      <c r="G43" s="137" t="n">
        <v>46335</v>
      </c>
      <c r="H43" s="18">
        <f>IF(G43&lt;Assumptions!$B$5,"Before",IF(G43&gt;Assumptions!$C$48,"After",INT((G43-Assumptions!$B$5)/7)+1))</f>
        <v>2</v>
      </c>
      <c r="I43" s="18" t="inlineStr">
        <is>
          <t>Xero bill</t>
        </is>
      </c>
      <c r="J43" s="115" t="inlineStr">
        <is>
          <t>Due Sun 8 Nov so Mon 9 Nov.</t>
        </is>
      </c>
      <c r="K43" s="18" t="str">
        <f>IF(AND('Creditors Run'!$B$5=1,I43="Xero bill",LEFT(J43,4)&lt;&gt;"PAID"),"No - in the creditors run","Yes")</f>
        <v>No - in the creditors run</v>
      </c>
    </row>
    <row r="44">
      <c r="A44" s="18" t="inlineStr">
        <is>
          <t>Telstra</t>
        </is>
      </c>
      <c r="B44" s="110" t="inlineStr">
        <is>
          <t>TTI20233644300 - Nighthawk Oct</t>
        </is>
      </c>
      <c r="C44" s="137" t="n">
        <v>46332</v>
      </c>
      <c r="D44" s="138" t="n">
        <v>136</v>
      </c>
      <c r="E44" s="33" t="inlineStr">
        <is>
          <t>BPAY</t>
        </is>
      </c>
      <c r="F44" s="33" t="inlineStr">
        <is>
          <t>Telephone &amp; internet</t>
        </is>
      </c>
      <c r="G44" s="137" t="n">
        <v>46332</v>
      </c>
      <c r="H44" s="18">
        <f>IF(G44&lt;Assumptions!$B$5,"Before",IF(G44&gt;Assumptions!$C$48,"After",INT((G44-Assumptions!$B$5)/7)+1))</f>
        <v>2</v>
      </c>
      <c r="I44" s="18" t="inlineStr">
        <is>
          <t>Xero bill</t>
        </is>
      </c>
      <c r="J44" s="115" t="inlineStr">
        <is>
          <t>BPAY on the due date.</t>
        </is>
      </c>
      <c r="K44" s="18" t="str">
        <f>IF(AND('Creditors Run'!$B$5=1,I44="Xero bill",LEFT(J44,4)&lt;&gt;"PAID"),"No - in the creditors run","Yes")</f>
        <v>No - in the creditors run</v>
      </c>
    </row>
    <row r="45">
      <c r="A45" s="18" t="inlineStr">
        <is>
          <t>Officeworks</t>
        </is>
      </c>
      <c r="B45" s="110" t="inlineStr">
        <is>
          <t>INV632570641 - keyboard &amp; mouse for CBA AGM</t>
        </is>
      </c>
      <c r="C45" s="137" t="n">
        <v>46332</v>
      </c>
      <c r="D45" s="138" t="n">
        <v>108</v>
      </c>
      <c r="E45" s="33" t="inlineStr">
        <is>
          <t>EFT</t>
        </is>
      </c>
      <c r="F45" s="33" t="inlineStr">
        <is>
          <t>Office</t>
        </is>
      </c>
      <c r="G45" s="137" t="n">
        <v>46332</v>
      </c>
      <c r="H45" s="18">
        <f>IF(G45&lt;Assumptions!$B$5,"Before",IF(G45&gt;Assumptions!$C$48,"After",INT((G45-Assumptions!$B$5)/7)+1))</f>
        <v>2</v>
      </c>
      <c r="I45" s="18" t="inlineStr">
        <is>
          <t>Xero bill</t>
        </is>
      </c>
      <c r="J45" s="115" t="inlineStr">
        <is>
          <t>DL approved. On the due date.</t>
        </is>
      </c>
      <c r="K45" s="18" t="str">
        <f>IF(AND('Creditors Run'!$B$5=1,I45="Xero bill",LEFT(J45,4)&lt;&gt;"PAID"),"No - in the creditors run","Yes")</f>
        <v>No - in the creditors run</v>
      </c>
    </row>
    <row r="46">
      <c r="A46" s="18" t="inlineStr">
        <is>
          <t>Riedel Communications</t>
        </is>
      </c>
      <c r="B46" s="110" t="inlineStr">
        <is>
          <t>INV00010410 - Microsoft SME&amp;C townhall 14.10.26 hire</t>
        </is>
      </c>
      <c r="C46" s="137" t="n">
        <v>46340</v>
      </c>
      <c r="D46" s="138" t="n">
        <v>885.0599999999999</v>
      </c>
      <c r="E46" s="33" t="inlineStr">
        <is>
          <t>EFT</t>
        </is>
      </c>
      <c r="F46" s="33" t="inlineStr">
        <is>
          <t>Equipment &amp; service hires</t>
        </is>
      </c>
      <c r="G46" s="137" t="n">
        <v>46342</v>
      </c>
      <c r="H46" s="18">
        <f>IF(G46&lt;Assumptions!$B$5,"Before",IF(G46&gt;Assumptions!$C$48,"After",INT((G46-Assumptions!$B$5)/7)+1))</f>
        <v>3</v>
      </c>
      <c r="I46" s="18" t="inlineStr">
        <is>
          <t>Xero bill</t>
        </is>
      </c>
      <c r="J46" s="115" t="inlineStr">
        <is>
          <t>MH approved. Due Sat 14 Nov so Mon 16 Nov.</t>
        </is>
      </c>
      <c r="K46" s="18" t="str">
        <f>IF(AND('Creditors Run'!$B$5=1,I46="Xero bill",LEFT(J46,4)&lt;&gt;"PAID"),"No - in the creditors run","Yes")</f>
        <v>No - in the creditors run</v>
      </c>
    </row>
    <row r="47">
      <c r="A47" s="18" t="inlineStr">
        <is>
          <t>Access Innovation Media</t>
        </is>
      </c>
      <c r="B47" s="110" t="inlineStr">
        <is>
          <t>INV22273 - CBA AGM 2026 services</t>
        </is>
      </c>
      <c r="C47" s="137" t="n">
        <v>46344</v>
      </c>
      <c r="D47" s="138" t="n">
        <v>924</v>
      </c>
      <c r="E47" s="33" t="inlineStr">
        <is>
          <t>EFT</t>
        </is>
      </c>
      <c r="F47" s="33" t="inlineStr">
        <is>
          <t>Equipment &amp; service hires</t>
        </is>
      </c>
      <c r="G47" s="137" t="n">
        <v>46344</v>
      </c>
      <c r="H47" s="18">
        <f>IF(G47&lt;Assumptions!$B$5,"Before",IF(G47&gt;Assumptions!$C$48,"After",INT((G47-Assumptions!$B$5)/7)+1))</f>
        <v>3</v>
      </c>
      <c r="I47" s="18" t="inlineStr">
        <is>
          <t>Xero bill</t>
        </is>
      </c>
      <c r="J47" s="115" t="inlineStr">
        <is>
          <t>DL / TW to approve.</t>
        </is>
      </c>
      <c r="K47" s="18" t="str">
        <f>IF(AND('Creditors Run'!$B$5=1,I47="Xero bill",LEFT(J47,4)&lt;&gt;"PAID"),"No - in the creditors run","Yes")</f>
        <v>No - in the creditors run</v>
      </c>
    </row>
    <row r="48">
      <c r="A48" s="18" t="inlineStr">
        <is>
          <t>Access Innovation Media</t>
        </is>
      </c>
      <c r="B48" s="110" t="inlineStr">
        <is>
          <t>INV22274 - CBA AGM 2026 services</t>
        </is>
      </c>
      <c r="C48" s="137" t="n">
        <v>46344</v>
      </c>
      <c r="D48" s="138" t="n">
        <v>682</v>
      </c>
      <c r="E48" s="33" t="inlineStr">
        <is>
          <t>EFT</t>
        </is>
      </c>
      <c r="F48" s="33" t="inlineStr">
        <is>
          <t>Equipment &amp; service hires</t>
        </is>
      </c>
      <c r="G48" s="137" t="n">
        <v>46344</v>
      </c>
      <c r="H48" s="18">
        <f>IF(G48&lt;Assumptions!$B$5,"Before",IF(G48&gt;Assumptions!$C$48,"After",INT((G48-Assumptions!$B$5)/7)+1))</f>
        <v>3</v>
      </c>
      <c r="I48" s="18" t="inlineStr">
        <is>
          <t>Xero bill</t>
        </is>
      </c>
      <c r="J48" s="115" t="inlineStr">
        <is>
          <t>DL / TW to approve.</t>
        </is>
      </c>
      <c r="K48" s="18" t="str">
        <f>IF(AND('Creditors Run'!$B$5=1,I48="Xero bill",LEFT(J48,4)&lt;&gt;"PAID"),"No - in the creditors run","Yes")</f>
        <v>No - in the creditors run</v>
      </c>
    </row>
    <row r="49">
      <c r="A49" s="18" t="inlineStr">
        <is>
          <t>Access Innovation Media</t>
        </is>
      </c>
      <c r="B49" s="110" t="inlineStr">
        <is>
          <t>INV22272 - CBA AGM 2026 services</t>
        </is>
      </c>
      <c r="C49" s="137" t="n">
        <v>46344</v>
      </c>
      <c r="D49" s="138" t="n">
        <v>264</v>
      </c>
      <c r="E49" s="33" t="inlineStr">
        <is>
          <t>EFT</t>
        </is>
      </c>
      <c r="F49" s="33" t="inlineStr">
        <is>
          <t>Equipment &amp; service hires</t>
        </is>
      </c>
      <c r="G49" s="137" t="n">
        <v>46344</v>
      </c>
      <c r="H49" s="18">
        <f>IF(G49&lt;Assumptions!$B$5,"Before",IF(G49&gt;Assumptions!$C$48,"After",INT((G49-Assumptions!$B$5)/7)+1))</f>
        <v>3</v>
      </c>
      <c r="I49" s="18" t="inlineStr">
        <is>
          <t>Xero bill</t>
        </is>
      </c>
      <c r="J49" s="115" t="inlineStr">
        <is>
          <t>DL / TW to approve.</t>
        </is>
      </c>
      <c r="K49" s="18" t="str">
        <f>IF(AND('Creditors Run'!$B$5=1,I49="Xero bill",LEFT(J49,4)&lt;&gt;"PAID"),"No - in the creditors run","Yes")</f>
        <v>No - in the creditors run</v>
      </c>
    </row>
    <row r="50">
      <c r="A50" s="18" t="inlineStr">
        <is>
          <t>Access Innovation Media</t>
        </is>
      </c>
      <c r="B50" s="110" t="inlineStr">
        <is>
          <t>INV22275 - CBA AGM 2026 services</t>
        </is>
      </c>
      <c r="C50" s="137" t="n">
        <v>46344</v>
      </c>
      <c r="D50" s="138" t="n">
        <v>165</v>
      </c>
      <c r="E50" s="33" t="inlineStr">
        <is>
          <t>EFT</t>
        </is>
      </c>
      <c r="F50" s="33" t="inlineStr">
        <is>
          <t>Equipment &amp; service hires</t>
        </is>
      </c>
      <c r="G50" s="137" t="n">
        <v>46344</v>
      </c>
      <c r="H50" s="18">
        <f>IF(G50&lt;Assumptions!$B$5,"Before",IF(G50&gt;Assumptions!$C$48,"After",INT((G50-Assumptions!$B$5)/7)+1))</f>
        <v>3</v>
      </c>
      <c r="I50" s="18" t="inlineStr">
        <is>
          <t>Xero bill</t>
        </is>
      </c>
      <c r="J50" s="115" t="inlineStr">
        <is>
          <t>DL / TW to approve.</t>
        </is>
      </c>
      <c r="K50" s="18" t="str">
        <f>IF(AND('Creditors Run'!$B$5=1,I50="Xero bill",LEFT(J50,4)&lt;&gt;"PAID"),"No - in the creditors run","Yes")</f>
        <v>No - in the creditors run</v>
      </c>
    </row>
    <row r="51">
      <c r="A51" s="18" t="inlineStr">
        <is>
          <t>Riedel Communications</t>
        </is>
      </c>
      <c r="B51" s="110" t="inlineStr">
        <is>
          <t>INV00010482 - MUFG Suncorp investor day 29.10.2026 hire</t>
        </is>
      </c>
      <c r="C51" s="137" t="n">
        <v>46351</v>
      </c>
      <c r="D51" s="138" t="n">
        <v>1829.52</v>
      </c>
      <c r="E51" s="33" t="inlineStr">
        <is>
          <t>EFT</t>
        </is>
      </c>
      <c r="F51" s="33" t="inlineStr">
        <is>
          <t>Equipment &amp; service hires</t>
        </is>
      </c>
      <c r="G51" s="137" t="n">
        <v>46351</v>
      </c>
      <c r="H51" s="18">
        <f>IF(G51&lt;Assumptions!$B$5,"Before",IF(G51&gt;Assumptions!$C$48,"After",INT((G51-Assumptions!$B$5)/7)+1))</f>
        <v>4</v>
      </c>
      <c r="I51" s="18" t="inlineStr">
        <is>
          <t>Xero bill</t>
        </is>
      </c>
      <c r="J51" s="115" t="inlineStr">
        <is>
          <t>MH approved. On the due date.</t>
        </is>
      </c>
      <c r="K51" s="18" t="str">
        <f>IF(AND('Creditors Run'!$B$5=1,I51="Xero bill",LEFT(J51,4)&lt;&gt;"PAID"),"No - in the creditors run","Yes")</f>
        <v>No - in the creditors run</v>
      </c>
    </row>
    <row r="52">
      <c r="A52" s="18" t="inlineStr">
        <is>
          <t>Riedel Communications</t>
        </is>
      </c>
      <c r="B52" s="110" t="inlineStr">
        <is>
          <t>INV00010469 - ASX AGM 22.10.26 hire</t>
        </is>
      </c>
      <c r="C52" s="137" t="n">
        <v>46352</v>
      </c>
      <c r="D52" s="138" t="n">
        <v>1834.27</v>
      </c>
      <c r="E52" s="33" t="inlineStr">
        <is>
          <t>EFT</t>
        </is>
      </c>
      <c r="F52" s="33" t="inlineStr">
        <is>
          <t>Equipment &amp; service hires</t>
        </is>
      </c>
      <c r="G52" s="137" t="n">
        <v>46352</v>
      </c>
      <c r="H52" s="18">
        <f>IF(G52&lt;Assumptions!$B$5,"Before",IF(G52&gt;Assumptions!$C$48,"After",INT((G52-Assumptions!$B$5)/7)+1))</f>
        <v>5</v>
      </c>
      <c r="I52" s="18" t="inlineStr">
        <is>
          <t>Xero bill</t>
        </is>
      </c>
      <c r="J52" s="115" t="inlineStr">
        <is>
          <t>MH approved. On the due date.</t>
        </is>
      </c>
      <c r="K52" s="18" t="str">
        <f>IF(AND('Creditors Run'!$B$5=1,I52="Xero bill",LEFT(J52,4)&lt;&gt;"PAID"),"No - in the creditors run","Yes")</f>
        <v>No - in the creditors run</v>
      </c>
    </row>
    <row r="53">
      <c r="A53" s="18" t="inlineStr">
        <is>
          <t>Chorus Call Australia</t>
        </is>
      </c>
      <c r="B53" s="110" t="inlineStr">
        <is>
          <t>INV02-82515 - Cochlear AGM 26.10.26 services</t>
        </is>
      </c>
      <c r="C53" s="137" t="n">
        <v>46353</v>
      </c>
      <c r="D53" s="138" t="n">
        <v>2065.84</v>
      </c>
      <c r="E53" s="33" t="inlineStr">
        <is>
          <t>EFT</t>
        </is>
      </c>
      <c r="F53" s="33" t="inlineStr">
        <is>
          <t>Equipment &amp; service hires</t>
        </is>
      </c>
      <c r="G53" s="137" t="n">
        <v>46353</v>
      </c>
      <c r="H53" s="18">
        <f>IF(G53&lt;Assumptions!$B$5,"Before",IF(G53&gt;Assumptions!$C$48,"After",INT((G53-Assumptions!$B$5)/7)+1))</f>
        <v>5</v>
      </c>
      <c r="I53" s="18" t="inlineStr">
        <is>
          <t>Xero bill</t>
        </is>
      </c>
      <c r="J53" s="115" t="inlineStr">
        <is>
          <t>MH approved. On the due date.</t>
        </is>
      </c>
      <c r="K53" s="18" t="str">
        <f>IF(AND('Creditors Run'!$B$5=1,I53="Xero bill",LEFT(J53,4)&lt;&gt;"PAID"),"No - in the creditors run","Yes")</f>
        <v>No - in the creditors run</v>
      </c>
    </row>
    <row r="54">
      <c r="A54" s="18" t="inlineStr">
        <is>
          <t>Ricoh Australia</t>
        </is>
      </c>
      <c r="B54" s="110" t="inlineStr">
        <is>
          <t>INV15788514 - printing Oct</t>
        </is>
      </c>
      <c r="C54" s="137" t="n">
        <v>46356</v>
      </c>
      <c r="D54" s="138" t="n">
        <v>257.47</v>
      </c>
      <c r="E54" s="33" t="inlineStr">
        <is>
          <t>DD</t>
        </is>
      </c>
      <c r="F54" s="33" t="inlineStr">
        <is>
          <t>Office</t>
        </is>
      </c>
      <c r="G54" s="137" t="n">
        <v>46356</v>
      </c>
      <c r="H54" s="18">
        <f>IF(G54&lt;Assumptions!$B$5,"Before",IF(G54&gt;Assumptions!$C$48,"After",INT((G54-Assumptions!$B$5)/7)+1))</f>
        <v>5</v>
      </c>
      <c r="I54" s="18" t="inlineStr">
        <is>
          <t>Xero bill</t>
        </is>
      </c>
      <c r="J54" s="115" t="inlineStr">
        <is>
          <t>Direct debit.</t>
        </is>
      </c>
      <c r="K54" s="18" t="str">
        <f>IF(AND('Creditors Run'!$B$5=1,I54="Xero bill",LEFT(J54,4)&lt;&gt;"PAID"),"No - in the creditors run","Yes")</f>
        <v>No - in the creditors run</v>
      </c>
    </row>
    <row r="55">
      <c r="A55" s="18" t="inlineStr">
        <is>
          <t>Avetta</t>
        </is>
      </c>
      <c r="B55" s="110" t="inlineStr">
        <is>
          <t>INV02434590 - worker management annual licence 2026-27</t>
        </is>
      </c>
      <c r="C55" s="137" t="n">
        <v>46318</v>
      </c>
      <c r="D55" s="138" t="n">
        <v>892</v>
      </c>
      <c r="E55" s="33" t="inlineStr">
        <is>
          <t>Card</t>
        </is>
      </c>
      <c r="F55" s="33" t="inlineStr">
        <is>
          <t>Dues &amp; subscriptions</t>
        </is>
      </c>
      <c r="G55" s="137" t="n">
        <v>46318</v>
      </c>
      <c r="H55" s="18" t="str">
        <f>IF(G55&lt;Assumptions!$B$5,"Before",IF(G55&gt;Assumptions!$C$48,"After",INT((G55-Assumptions!$B$5)/7)+1))</f>
        <v>Before</v>
      </c>
      <c r="I55" s="18" t="inlineStr">
        <is>
          <t>Xero bill</t>
        </is>
      </c>
      <c r="J55" s="115" t="inlineStr">
        <is>
          <t>PL card - in the card line.</t>
        </is>
      </c>
      <c r="K55" s="18" t="str">
        <f>IF(AND('Creditors Run'!$B$5=1,I55="Xero bill",LEFT(J55,4)&lt;&gt;"PAID"),"No - in the creditors run","Yes")</f>
        <v>No - in the creditors run</v>
      </c>
    </row>
    <row r="56">
      <c r="A56" s="18" t="inlineStr">
        <is>
          <t>Australian Tenders</t>
        </is>
      </c>
      <c r="B56" s="110" t="inlineStr">
        <is>
          <t>WLVRMZBY0012 - WA core subscription Oct</t>
        </is>
      </c>
      <c r="C56" s="137" t="n">
        <v>46322</v>
      </c>
      <c r="D56" s="138" t="n">
        <v>99</v>
      </c>
      <c r="E56" s="33" t="inlineStr">
        <is>
          <t>Card</t>
        </is>
      </c>
      <c r="F56" s="33" t="inlineStr">
        <is>
          <t>Dues &amp; subscriptions</t>
        </is>
      </c>
      <c r="G56" s="137" t="n">
        <v>46322</v>
      </c>
      <c r="H56" s="18" t="str">
        <f>IF(G56&lt;Assumptions!$B$5,"Before",IF(G56&gt;Assumptions!$C$48,"After",INT((G56-Assumptions!$B$5)/7)+1))</f>
        <v>Before</v>
      </c>
      <c r="I56" s="18" t="inlineStr">
        <is>
          <t>Xero bill</t>
        </is>
      </c>
      <c r="J56" s="115" t="inlineStr">
        <is>
          <t>PL card.</t>
        </is>
      </c>
      <c r="K56" s="18" t="str">
        <f>IF(AND('Creditors Run'!$B$5=1,I56="Xero bill",LEFT(J56,4)&lt;&gt;"PAID"),"No - in the creditors run","Yes")</f>
        <v>No - in the creditors run</v>
      </c>
    </row>
    <row r="57">
      <c r="A57" s="18" t="inlineStr">
        <is>
          <t>Energy Australia</t>
        </is>
      </c>
      <c r="B57" s="110" t="inlineStr">
        <is>
          <t>INV260412412804 - electricity 23 Aug to 21 Sep</t>
        </is>
      </c>
      <c r="C57" s="137" t="n">
        <v>46309</v>
      </c>
      <c r="D57" s="138" t="n">
        <v>696.25</v>
      </c>
      <c r="E57" s="33" t="inlineStr">
        <is>
          <t>Card</t>
        </is>
      </c>
      <c r="F57" s="33" t="inlineStr">
        <is>
          <t>Electricity</t>
        </is>
      </c>
      <c r="G57" s="137" t="n">
        <v>46309</v>
      </c>
      <c r="H57" s="18" t="str">
        <f>IF(G57&lt;Assumptions!$B$5,"Before",IF(G57&gt;Assumptions!$C$48,"After",INT((G57-Assumptions!$B$5)/7)+1))</f>
        <v>Before</v>
      </c>
      <c r="I57" s="18" t="inlineStr">
        <is>
          <t>Xero bill</t>
        </is>
      </c>
      <c r="J57" s="115" t="inlineStr">
        <is>
          <t>DD via the PL card.</t>
        </is>
      </c>
      <c r="K57" s="18" t="str">
        <f>IF(AND('Creditors Run'!$B$5=1,I57="Xero bill",LEFT(J57,4)&lt;&gt;"PAID"),"No - in the creditors run","Yes")</f>
        <v>No - in the creditors run</v>
      </c>
    </row>
    <row r="58">
      <c r="A58" s="18" t="inlineStr">
        <is>
          <t>Expedia</t>
        </is>
      </c>
      <c r="B58" s="110" t="inlineStr">
        <is>
          <t>IT73569434492806 - accommodation J Salanoa, Ventia townhall</t>
        </is>
      </c>
      <c r="C58" s="137" t="n">
        <v>46315</v>
      </c>
      <c r="D58" s="138" t="n">
        <v>233.83</v>
      </c>
      <c r="E58" s="33" t="inlineStr">
        <is>
          <t>Card</t>
        </is>
      </c>
      <c r="F58" s="33" t="inlineStr">
        <is>
          <t>Direct travel &amp; freight</t>
        </is>
      </c>
      <c r="G58" s="137" t="n">
        <v>46315</v>
      </c>
      <c r="H58" s="18" t="str">
        <f>IF(G58&lt;Assumptions!$B$5,"Before",IF(G58&gt;Assumptions!$C$48,"After",INT((G58-Assumptions!$B$5)/7)+1))</f>
        <v>Before</v>
      </c>
      <c r="I58" s="18" t="inlineStr">
        <is>
          <t>Xero bill</t>
        </is>
      </c>
      <c r="J58" s="115" t="inlineStr">
        <is>
          <t>PL card.</t>
        </is>
      </c>
      <c r="K58" s="18" t="str">
        <f>IF(AND('Creditors Run'!$B$5=1,I58="Xero bill",LEFT(J58,4)&lt;&gt;"PAID"),"No - in the creditors run","Yes")</f>
        <v>No - in the creditors run</v>
      </c>
    </row>
    <row r="59">
      <c r="A59" s="18" t="inlineStr">
        <is>
          <t>Virgin Australia</t>
        </is>
      </c>
      <c r="B59" s="110" t="inlineStr">
        <is>
          <t>JGTOZQ - return flight J Salanoa, Ventia townhall</t>
        </is>
      </c>
      <c r="C59" s="137" t="n">
        <v>46315</v>
      </c>
      <c r="D59" s="138" t="n">
        <v>716</v>
      </c>
      <c r="E59" s="33" t="inlineStr">
        <is>
          <t>Card</t>
        </is>
      </c>
      <c r="F59" s="33" t="inlineStr">
        <is>
          <t>Direct travel &amp; freight</t>
        </is>
      </c>
      <c r="G59" s="137" t="n">
        <v>46315</v>
      </c>
      <c r="H59" s="18" t="str">
        <f>IF(G59&lt;Assumptions!$B$5,"Before",IF(G59&gt;Assumptions!$C$48,"After",INT((G59-Assumptions!$B$5)/7)+1))</f>
        <v>Before</v>
      </c>
      <c r="I59" s="18" t="inlineStr">
        <is>
          <t>Xero bill</t>
        </is>
      </c>
      <c r="J59" s="115" t="inlineStr">
        <is>
          <t>PL card.</t>
        </is>
      </c>
      <c r="K59" s="18" t="str">
        <f>IF(AND('Creditors Run'!$B$5=1,I59="Xero bill",LEFT(J59,4)&lt;&gt;"PAID"),"No - in the creditors run","Yes")</f>
        <v>No - in the creditors run</v>
      </c>
    </row>
    <row r="60">
      <c r="A60" s="18" t="inlineStr">
        <is>
          <t>Google</t>
        </is>
      </c>
      <c r="B60" s="110" t="inlineStr">
        <is>
          <t>INV1115.7 - YouTube Premium Oct</t>
        </is>
      </c>
      <c r="C60" s="137" t="n">
        <v>46323</v>
      </c>
      <c r="D60" s="138" t="n">
        <v>16.99</v>
      </c>
      <c r="E60" s="33" t="inlineStr">
        <is>
          <t>Card</t>
        </is>
      </c>
      <c r="F60" s="33" t="inlineStr">
        <is>
          <t>Dues &amp; subscriptions</t>
        </is>
      </c>
      <c r="G60" s="137" t="n">
        <v>46323</v>
      </c>
      <c r="H60" s="18" t="str">
        <f>IF(G60&lt;Assumptions!$B$5,"Before",IF(G60&gt;Assumptions!$C$48,"After",INT((G60-Assumptions!$B$5)/7)+1))</f>
        <v>Before</v>
      </c>
      <c r="I60" s="18" t="inlineStr">
        <is>
          <t>Xero bill</t>
        </is>
      </c>
      <c r="J60" s="115" t="inlineStr">
        <is>
          <t>DL card.</t>
        </is>
      </c>
      <c r="K60" s="18" t="str">
        <f>IF(AND('Creditors Run'!$B$5=1,I60="Xero bill",LEFT(J60,4)&lt;&gt;"PAID"),"No - in the creditors run","Yes")</f>
        <v>No - in the creditors run</v>
      </c>
    </row>
    <row r="61" s="109">
      <c r="A61" s="18" t="inlineStr">
        <is>
          <t>Mailchimp</t>
        </is>
      </c>
      <c r="B61" s="110" t="inlineStr">
        <is>
          <t>MC27578191 - October</t>
        </is>
      </c>
      <c r="C61" s="137" t="n">
        <v>46313</v>
      </c>
      <c r="D61" s="138" t="n">
        <v>38.54</v>
      </c>
      <c r="E61" s="33" t="inlineStr">
        <is>
          <t>Card</t>
        </is>
      </c>
      <c r="F61" s="33" t="inlineStr">
        <is>
          <t>Dues &amp; subscriptions</t>
        </is>
      </c>
      <c r="G61" s="137" t="n">
        <v>46313</v>
      </c>
      <c r="H61" s="18" t="str">
        <f>IF(G61&lt;Assumptions!$B$5,"Before",IF(G61&gt;Assumptions!$C$48,"After",INT((G61-Assumptions!$B$5)/7)+1))</f>
        <v>Before</v>
      </c>
      <c r="I61" s="18" t="inlineStr">
        <is>
          <t>Xero bill</t>
        </is>
      </c>
      <c r="J61" s="115" t="inlineStr">
        <is>
          <t>PL card.</t>
        </is>
      </c>
      <c r="K61" s="18" t="str">
        <f>IF(AND('Creditors Run'!$B$5=1,I61="Xero bill",LEFT(J61,4)&lt;&gt;"PAID"),"No - in the creditors run","Yes")</f>
        <v>No - in the creditors run</v>
      </c>
    </row>
    <row r="62" s="109">
      <c r="A62" s="18" t="inlineStr">
        <is>
          <t>Optus</t>
        </is>
      </c>
      <c r="B62" s="110" t="inlineStr">
        <is>
          <t>INV000599871925 - office internet &amp; landline Oct</t>
        </is>
      </c>
      <c r="C62" s="137" t="n">
        <v>46318</v>
      </c>
      <c r="D62" s="138" t="n">
        <v>639.15</v>
      </c>
      <c r="E62" s="33" t="inlineStr">
        <is>
          <t>Card</t>
        </is>
      </c>
      <c r="F62" s="33" t="inlineStr">
        <is>
          <t>Telephone &amp; internet</t>
        </is>
      </c>
      <c r="G62" s="137" t="n">
        <v>46318</v>
      </c>
      <c r="H62" s="18" t="str">
        <f>IF(G62&lt;Assumptions!$B$5,"Before",IF(G62&gt;Assumptions!$C$48,"After",INT((G62-Assumptions!$B$5)/7)+1))</f>
        <v>Before</v>
      </c>
      <c r="I62" s="18" t="inlineStr">
        <is>
          <t>Xero bill</t>
        </is>
      </c>
      <c r="J62" s="115" t="inlineStr">
        <is>
          <t>PL card.</t>
        </is>
      </c>
      <c r="K62" s="18" t="str">
        <f>IF(AND('Creditors Run'!$B$5=1,I62="Xero bill",LEFT(J62,4)&lt;&gt;"PAID"),"No - in the creditors run","Yes")</f>
        <v>No - in the creditors run</v>
      </c>
    </row>
    <row r="63" s="109">
      <c r="A63" s="18" t="inlineStr">
        <is>
          <t>Seek</t>
        </is>
      </c>
      <c r="B63" s="110" t="inlineStr">
        <is>
          <t>INV702171405 - accounts assistant job ad</t>
        </is>
      </c>
      <c r="C63" s="137" t="n">
        <v>46316</v>
      </c>
      <c r="D63" s="138" t="n">
        <v>555.5</v>
      </c>
      <c r="E63" s="33" t="inlineStr">
        <is>
          <t>Card</t>
        </is>
      </c>
      <c r="F63" s="33" t="inlineStr">
        <is>
          <t>Recruitment</t>
        </is>
      </c>
      <c r="G63" s="137" t="n">
        <v>46316</v>
      </c>
      <c r="H63" s="18" t="str">
        <f>IF(G63&lt;Assumptions!$B$5,"Before",IF(G63&gt;Assumptions!$C$48,"After",INT((G63-Assumptions!$B$5)/7)+1))</f>
        <v>Before</v>
      </c>
      <c r="I63" s="18" t="inlineStr">
        <is>
          <t>Xero bill</t>
        </is>
      </c>
      <c r="J63" s="115" t="inlineStr">
        <is>
          <t>GC approved. PL card.</t>
        </is>
      </c>
      <c r="K63" s="18" t="str">
        <f>IF(AND('Creditors Run'!$B$5=1,I63="Xero bill",LEFT(J63,4)&lt;&gt;"PAID"),"No - in the creditors run","Yes")</f>
        <v>No - in the creditors run</v>
      </c>
    </row>
    <row r="64" s="109">
      <c r="A64" s="18" t="inlineStr">
        <is>
          <t>Zoom</t>
        </is>
      </c>
      <c r="B64" s="110" t="inlineStr">
        <is>
          <t>INV375651107 - Oct subscription</t>
        </is>
      </c>
      <c r="C64" s="137" t="n">
        <v>46323</v>
      </c>
      <c r="D64" s="138" t="n">
        <v>323.97</v>
      </c>
      <c r="E64" s="33" t="inlineStr">
        <is>
          <t>Card</t>
        </is>
      </c>
      <c r="F64" s="33" t="inlineStr">
        <is>
          <t>Dues &amp; subscriptions</t>
        </is>
      </c>
      <c r="G64" s="137" t="n">
        <v>46323</v>
      </c>
      <c r="H64" s="18" t="str">
        <f>IF(G64&lt;Assumptions!$B$5,"Before",IF(G64&gt;Assumptions!$C$48,"After",INT((G64-Assumptions!$B$5)/7)+1))</f>
        <v>Before</v>
      </c>
      <c r="I64" s="18" t="inlineStr">
        <is>
          <t>Xero bill</t>
        </is>
      </c>
      <c r="J64" s="115" t="inlineStr">
        <is>
          <t>PL card.</t>
        </is>
      </c>
      <c r="K64" s="18" t="str">
        <f>IF(AND('Creditors Run'!$B$5=1,I64="Xero bill",LEFT(J64,4)&lt;&gt;"PAID"),"No - in the creditors run","Yes")</f>
        <v>No - in the creditors run</v>
      </c>
    </row>
    <row r="65">
      <c r="A65" s="18" t="inlineStr">
        <is>
          <t>Investa Asset Management</t>
        </is>
      </c>
      <c r="B65" s="110" t="inlineStr">
        <is>
          <t>Rent November 2026 (Oct was $28,895.72)</t>
        </is>
      </c>
      <c r="C65" s="137" t="n">
        <v>46327</v>
      </c>
      <c r="D65" s="138" t="n">
        <v>28895.72</v>
      </c>
      <c r="E65" s="33" t="inlineStr">
        <is>
          <t>EFT</t>
        </is>
      </c>
      <c r="F65" s="33" t="inlineStr">
        <is>
          <t>Rent</t>
        </is>
      </c>
      <c r="G65" s="137" t="n">
        <v>46328</v>
      </c>
      <c r="H65" s="18">
        <f>IF(G65&lt;Assumptions!$B$5,"Before",IF(G65&gt;Assumptions!$C$48,"After",INT((G65-Assumptions!$B$5)/7)+1))</f>
        <v>1</v>
      </c>
      <c r="I65" s="18" t="inlineStr">
        <is>
          <t>Repeating template</t>
        </is>
      </c>
      <c r="J65" s="115" t="inlineStr">
        <is>
          <t>Investa bill the 1st, paid 1 Oct last month. Pay Mon 2 Nov with the run.</t>
        </is>
      </c>
      <c r="K65" s="18" t="str">
        <f>IF(AND('Creditors Run'!$B$5=1,I65="Xero bill",LEFT(J65,4)&lt;&gt;"PAID"),"No - in the creditors run","Yes")</f>
        <v>Yes</v>
      </c>
    </row>
    <row r="66">
      <c r="A66" s="18" t="inlineStr">
        <is>
          <t>Cleveland Partners (8020 Advisors)</t>
        </is>
      </c>
      <c r="B66" s="110" t="inlineStr">
        <is>
          <t>Monthly advisory fees - November</t>
        </is>
      </c>
      <c r="C66" s="137" t="n">
        <v>46328</v>
      </c>
      <c r="D66" s="138" t="n">
        <v>3850</v>
      </c>
      <c r="E66" s="33" t="inlineStr">
        <is>
          <t>EFT</t>
        </is>
      </c>
      <c r="F66" s="33" t="inlineStr">
        <is>
          <t>Professional fees</t>
        </is>
      </c>
      <c r="G66" s="137" t="n">
        <v>46328</v>
      </c>
      <c r="H66" s="18">
        <f>IF(G66&lt;Assumptions!$B$5,"Before",IF(G66&gt;Assumptions!$C$48,"After",INT((G66-Assumptions!$B$5)/7)+1))</f>
        <v>1</v>
      </c>
      <c r="I66" s="18" t="inlineStr">
        <is>
          <t>Repeating template</t>
        </is>
      </c>
      <c r="J66" s="115" t="inlineStr">
        <is>
          <t>Template $3,850 a month. Nothing paid in Oct that I can see in Xero - check.</t>
        </is>
      </c>
      <c r="K66" s="18" t="str">
        <f>IF(AND('Creditors Run'!$B$5=1,I66="Xero bill",LEFT(J66,4)&lt;&gt;"PAID"),"No - in the creditors run","Yes")</f>
        <v>Yes</v>
      </c>
    </row>
    <row r="67">
      <c r="A67" s="18" t="inlineStr">
        <is>
          <t>Employsure</t>
        </is>
      </c>
      <c r="B67" s="110" t="inlineStr">
        <is>
          <t>43 of 60 - November</t>
        </is>
      </c>
      <c r="C67" s="137" t="n">
        <v>46331</v>
      </c>
      <c r="D67" s="138" t="n">
        <v>880</v>
      </c>
      <c r="E67" s="33" t="inlineStr">
        <is>
          <t>EFT</t>
        </is>
      </c>
      <c r="F67" s="33" t="inlineStr">
        <is>
          <t>Professional fees</t>
        </is>
      </c>
      <c r="G67" s="137" t="n">
        <v>46331</v>
      </c>
      <c r="H67" s="18">
        <f>IF(G67&lt;Assumptions!$B$5,"Before",IF(G67&gt;Assumptions!$C$48,"After",INT((G67-Assumptions!$B$5)/7)+1))</f>
        <v>2</v>
      </c>
      <c r="I67" s="18" t="inlineStr">
        <is>
          <t>Repeating template</t>
        </is>
      </c>
      <c r="J67" s="115" t="inlineStr">
        <is>
          <t>Template, due 5 Nov.</t>
        </is>
      </c>
      <c r="K67" s="18" t="str">
        <f>IF(AND('Creditors Run'!$B$5=1,I67="Xero bill",LEFT(J67,4)&lt;&gt;"PAID"),"No - in the creditors run","Yes")</f>
        <v>Yes</v>
      </c>
    </row>
    <row r="68">
      <c r="A68" s="18" t="inlineStr">
        <is>
          <t>Telstra</t>
        </is>
      </c>
      <c r="B68" s="110" t="inlineStr">
        <is>
          <t>Recharges x 4 - November</t>
        </is>
      </c>
      <c r="C68" s="137" t="n">
        <v>46335</v>
      </c>
      <c r="D68" s="138" t="n">
        <v>176</v>
      </c>
      <c r="E68" s="33" t="inlineStr">
        <is>
          <t>Card</t>
        </is>
      </c>
      <c r="F68" s="33" t="inlineStr">
        <is>
          <t>Telephone &amp; internet</t>
        </is>
      </c>
      <c r="G68" s="137" t="n">
        <v>46335</v>
      </c>
      <c r="H68" s="18">
        <f>IF(G68&lt;Assumptions!$B$5,"Before",IF(G68&gt;Assumptions!$C$48,"After",INT((G68-Assumptions!$B$5)/7)+1))</f>
        <v>2</v>
      </c>
      <c r="I68" s="18" t="inlineStr">
        <is>
          <t>Repeating template</t>
        </is>
      </c>
      <c r="J68" s="115" t="inlineStr">
        <is>
          <t>PL card.</t>
        </is>
      </c>
      <c r="K68" s="18" t="str">
        <f>IF(AND('Creditors Run'!$B$5=1,I68="Xero bill",LEFT(J68,4)&lt;&gt;"PAID"),"No - in the creditors run","Yes")</f>
        <v>Yes</v>
      </c>
    </row>
    <row r="69">
      <c r="A69" s="18" t="inlineStr">
        <is>
          <t>LiveU</t>
        </is>
      </c>
      <c r="B69" s="110" t="inlineStr">
        <is>
          <t>SOLO standard data pack - November</t>
        </is>
      </c>
      <c r="C69" s="137" t="n">
        <v>46340</v>
      </c>
      <c r="D69" s="138" t="n">
        <v>1485</v>
      </c>
      <c r="E69" s="33" t="inlineStr">
        <is>
          <t>EFT</t>
        </is>
      </c>
      <c r="F69" s="33" t="inlineStr">
        <is>
          <t>Client subscriptions</t>
        </is>
      </c>
      <c r="G69" s="137" t="n">
        <v>46342</v>
      </c>
      <c r="H69" s="18">
        <f>IF(G69&lt;Assumptions!$B$5,"Before",IF(G69&gt;Assumptions!$C$48,"After",INT((G69-Assumptions!$B$5)/7)+1))</f>
        <v>3</v>
      </c>
      <c r="I69" s="18" t="inlineStr">
        <is>
          <t>Repeating template</t>
        </is>
      </c>
      <c r="J69" s="115" t="inlineStr">
        <is>
          <t>Due Sat 14 Nov so Mon 16 Nov.</t>
        </is>
      </c>
      <c r="K69" s="18" t="str">
        <f>IF(AND('Creditors Run'!$B$5=1,I69="Xero bill",LEFT(J69,4)&lt;&gt;"PAID"),"No - in the creditors run","Yes")</f>
        <v>Yes</v>
      </c>
    </row>
    <row r="70">
      <c r="A70" s="18" t="inlineStr">
        <is>
          <t>First Focus IT</t>
        </is>
      </c>
      <c r="B70" s="110" t="inlineStr">
        <is>
          <t>CORE Intelligent Managed Services - November</t>
        </is>
      </c>
      <c r="C70" s="137" t="n">
        <v>46342</v>
      </c>
      <c r="D70" s="138" t="n">
        <v>13755.77</v>
      </c>
      <c r="E70" s="33" t="inlineStr">
        <is>
          <t>DD</t>
        </is>
      </c>
      <c r="F70" s="33" t="inlineStr">
        <is>
          <t>IT support</t>
        </is>
      </c>
      <c r="G70" s="137" t="n">
        <v>46342</v>
      </c>
      <c r="H70" s="18">
        <f>IF(G70&lt;Assumptions!$B$5,"Before",IF(G70&gt;Assumptions!$C$48,"After",INT((G70-Assumptions!$B$5)/7)+1))</f>
        <v>3</v>
      </c>
      <c r="I70" s="18" t="inlineStr">
        <is>
          <t>Repeating template</t>
        </is>
      </c>
      <c r="J70" s="115" t="inlineStr">
        <is>
          <t>DD on the due date.</t>
        </is>
      </c>
      <c r="K70" s="18" t="str">
        <f>IF(AND('Creditors Run'!$B$5=1,I70="Xero bill",LEFT(J70,4)&lt;&gt;"PAID"),"No - in the creditors run","Yes")</f>
        <v>Yes</v>
      </c>
    </row>
    <row r="71">
      <c r="A71" s="18" t="inlineStr">
        <is>
          <t>First Focus IT</t>
        </is>
      </c>
      <c r="B71" s="110" t="inlineStr">
        <is>
          <t>Managed Services Azure - November</t>
        </is>
      </c>
      <c r="C71" s="137" t="n">
        <v>46342</v>
      </c>
      <c r="D71" s="138" t="n">
        <v>710.5</v>
      </c>
      <c r="E71" s="33" t="inlineStr">
        <is>
          <t>DD</t>
        </is>
      </c>
      <c r="F71" s="33" t="inlineStr">
        <is>
          <t>IT support</t>
        </is>
      </c>
      <c r="G71" s="137" t="n">
        <v>46342</v>
      </c>
      <c r="H71" s="18">
        <f>IF(G71&lt;Assumptions!$B$5,"Before",IF(G71&gt;Assumptions!$C$48,"After",INT((G71-Assumptions!$B$5)/7)+1))</f>
        <v>3</v>
      </c>
      <c r="I71" s="18" t="inlineStr">
        <is>
          <t>Repeating template</t>
        </is>
      </c>
      <c r="J71" s="115" t="inlineStr">
        <is>
          <t>DD on the due date.</t>
        </is>
      </c>
      <c r="K71" s="18" t="str">
        <f>IF(AND('Creditors Run'!$B$5=1,I71="Xero bill",LEFT(J71,4)&lt;&gt;"PAID"),"No - in the creditors run","Yes")</f>
        <v>Yes</v>
      </c>
    </row>
    <row r="72">
      <c r="A72" s="18" t="inlineStr">
        <is>
          <t>Insphire (Current RMS)</t>
        </is>
      </c>
      <c r="B72" s="110" t="inlineStr">
        <is>
          <t>November</t>
        </is>
      </c>
      <c r="C72" s="137" t="n">
        <v>46342</v>
      </c>
      <c r="D72" s="138" t="n">
        <v>431</v>
      </c>
      <c r="E72" s="33" t="inlineStr">
        <is>
          <t>Card</t>
        </is>
      </c>
      <c r="F72" s="33" t="inlineStr">
        <is>
          <t>Dues &amp; subscriptions</t>
        </is>
      </c>
      <c r="G72" s="137" t="n">
        <v>46342</v>
      </c>
      <c r="H72" s="18">
        <f>IF(G72&lt;Assumptions!$B$5,"Before",IF(G72&gt;Assumptions!$C$48,"After",INT((G72-Assumptions!$B$5)/7)+1))</f>
        <v>3</v>
      </c>
      <c r="I72" s="18" t="inlineStr">
        <is>
          <t>Repeating template</t>
        </is>
      </c>
      <c r="J72" s="115" t="inlineStr">
        <is>
          <t>PL card.</t>
        </is>
      </c>
      <c r="K72" s="18" t="str">
        <f>IF(AND('Creditors Run'!$B$5=1,I72="Xero bill",LEFT(J72,4)&lt;&gt;"PAID"),"No - in the creditors run","Yes")</f>
        <v>Yes</v>
      </c>
    </row>
    <row r="73">
      <c r="A73" s="18" t="inlineStr">
        <is>
          <t>Mailchimp</t>
        </is>
      </c>
      <c r="B73" s="110" t="inlineStr">
        <is>
          <t>November</t>
        </is>
      </c>
      <c r="C73" s="137" t="n">
        <v>46344</v>
      </c>
      <c r="D73" s="138" t="n">
        <v>37.62</v>
      </c>
      <c r="E73" s="33" t="inlineStr">
        <is>
          <t>Card</t>
        </is>
      </c>
      <c r="F73" s="33" t="inlineStr">
        <is>
          <t>Dues &amp; subscriptions</t>
        </is>
      </c>
      <c r="G73" s="137" t="n">
        <v>46344</v>
      </c>
      <c r="H73" s="18">
        <f>IF(G73&lt;Assumptions!$B$5,"Before",IF(G73&gt;Assumptions!$C$48,"After",INT((G73-Assumptions!$B$5)/7)+1))</f>
        <v>3</v>
      </c>
      <c r="I73" s="18" t="inlineStr">
        <is>
          <t>Repeating template</t>
        </is>
      </c>
      <c r="J73" s="115" t="inlineStr">
        <is>
          <t>PL card.</t>
        </is>
      </c>
      <c r="K73" s="18" t="str">
        <f>IF(AND('Creditors Run'!$B$5=1,I73="Xero bill",LEFT(J73,4)&lt;&gt;"PAID"),"No - in the creditors run","Yes")</f>
        <v>Yes</v>
      </c>
    </row>
    <row r="74">
      <c r="A74" s="18" t="inlineStr">
        <is>
          <t>Optus</t>
        </is>
      </c>
      <c r="B74" s="110" t="inlineStr">
        <is>
          <t>Lugstein home internet - November</t>
        </is>
      </c>
      <c r="C74" s="137" t="n">
        <v>46346</v>
      </c>
      <c r="D74" s="138" t="n">
        <v>101.2</v>
      </c>
      <c r="E74" s="33" t="inlineStr">
        <is>
          <t>BPAY</t>
        </is>
      </c>
      <c r="F74" s="33" t="inlineStr">
        <is>
          <t>Telephone &amp; internet</t>
        </is>
      </c>
      <c r="G74" s="137" t="n">
        <v>46346</v>
      </c>
      <c r="H74" s="18">
        <f>IF(G74&lt;Assumptions!$B$5,"Before",IF(G74&gt;Assumptions!$C$48,"After",INT((G74-Assumptions!$B$5)/7)+1))</f>
        <v>4</v>
      </c>
      <c r="I74" s="18" t="inlineStr">
        <is>
          <t>Repeating template</t>
        </is>
      </c>
      <c r="J74" s="115" t="inlineStr">
        <is>
          <t>BPAY on the due date.</t>
        </is>
      </c>
      <c r="K74" s="18" t="str">
        <f>IF(AND('Creditors Run'!$B$5=1,I74="Xero bill",LEFT(J74,4)&lt;&gt;"PAID"),"No - in the creditors run","Yes")</f>
        <v>Yes</v>
      </c>
    </row>
    <row r="75">
      <c r="A75" s="18" t="inlineStr">
        <is>
          <t>RJW Group Holdings</t>
        </is>
      </c>
      <c r="B75" s="110" t="inlineStr">
        <is>
          <t>Digital growth marketing - November</t>
        </is>
      </c>
      <c r="C75" s="137" t="n">
        <v>46347</v>
      </c>
      <c r="D75" s="138" t="n">
        <v>4675</v>
      </c>
      <c r="E75" s="33" t="inlineStr">
        <is>
          <t>EFT</t>
        </is>
      </c>
      <c r="F75" s="33" t="inlineStr">
        <is>
          <t>Advertising</t>
        </is>
      </c>
      <c r="G75" s="137" t="n">
        <v>46349</v>
      </c>
      <c r="H75" s="18">
        <f>IF(G75&lt;Assumptions!$B$5,"Before",IF(G75&gt;Assumptions!$C$48,"After",INT((G75-Assumptions!$B$5)/7)+1))</f>
        <v>4</v>
      </c>
      <c r="I75" s="18" t="inlineStr">
        <is>
          <t>Repeating template</t>
        </is>
      </c>
      <c r="J75" s="115" t="inlineStr">
        <is>
          <t>Due Sat 21 Nov so Mon 23 Nov.</t>
        </is>
      </c>
      <c r="K75" s="18" t="str">
        <f>IF(AND('Creditors Run'!$B$5=1,I75="Xero bill",LEFT(J75,4)&lt;&gt;"PAID"),"No - in the creditors run","Yes")</f>
        <v>Yes</v>
      </c>
    </row>
    <row r="76">
      <c r="A76" s="18" t="inlineStr">
        <is>
          <t>Telstra</t>
        </is>
      </c>
      <c r="B76" s="110" t="inlineStr">
        <is>
          <t>Nighthawk data plans - November</t>
        </is>
      </c>
      <c r="C76" s="137" t="n">
        <v>46347</v>
      </c>
      <c r="D76" s="138" t="n">
        <v>130</v>
      </c>
      <c r="E76" s="33" t="inlineStr">
        <is>
          <t>BPAY</t>
        </is>
      </c>
      <c r="F76" s="33" t="inlineStr">
        <is>
          <t>Telephone &amp; internet</t>
        </is>
      </c>
      <c r="G76" s="137" t="n">
        <v>46349</v>
      </c>
      <c r="H76" s="18">
        <f>IF(G76&lt;Assumptions!$B$5,"Before",IF(G76&gt;Assumptions!$C$48,"After",INT((G76-Assumptions!$B$5)/7)+1))</f>
        <v>4</v>
      </c>
      <c r="I76" s="18" t="inlineStr">
        <is>
          <t>Repeating template</t>
        </is>
      </c>
      <c r="J76" s="115" t="inlineStr">
        <is>
          <t>Due Sat 21 Nov so Mon 23 Nov.</t>
        </is>
      </c>
      <c r="K76" s="18" t="str">
        <f>IF(AND('Creditors Run'!$B$5=1,I76="Xero bill",LEFT(J76,4)&lt;&gt;"PAID"),"No - in the creditors run","Yes")</f>
        <v>Yes</v>
      </c>
    </row>
    <row r="77" s="109">
      <c r="A77" s="18" t="inlineStr">
        <is>
          <t>Optus</t>
        </is>
      </c>
      <c r="B77" s="110" t="inlineStr">
        <is>
          <t>Office internet &amp; landline - November</t>
        </is>
      </c>
      <c r="C77" s="137" t="n">
        <v>46347</v>
      </c>
      <c r="D77" s="138" t="n">
        <v>629.66</v>
      </c>
      <c r="E77" s="33" t="inlineStr">
        <is>
          <t>Card</t>
        </is>
      </c>
      <c r="F77" s="33" t="inlineStr">
        <is>
          <t>Telephone &amp; internet</t>
        </is>
      </c>
      <c r="G77" s="137" t="n">
        <v>46349</v>
      </c>
      <c r="H77" s="18">
        <f>IF(G77&lt;Assumptions!$B$5,"Before",IF(G77&gt;Assumptions!$C$48,"After",INT((G77-Assumptions!$B$5)/7)+1))</f>
        <v>4</v>
      </c>
      <c r="I77" s="18" t="inlineStr">
        <is>
          <t>Repeating template</t>
        </is>
      </c>
      <c r="J77" s="115" t="inlineStr">
        <is>
          <t>PL card.</t>
        </is>
      </c>
      <c r="K77" s="18" t="str">
        <f>IF(AND('Creditors Run'!$B$5=1,I77="Xero bill",LEFT(J77,4)&lt;&gt;"PAID"),"No - in the creditors run","Yes")</f>
        <v>Yes</v>
      </c>
    </row>
    <row r="78" s="109">
      <c r="A78" s="18" t="inlineStr">
        <is>
          <t>Xero / Adobe / Spotify / Avangate / misc</t>
        </is>
      </c>
      <c r="B78" s="110" t="inlineStr">
        <is>
          <t>Small monthly subscriptions</t>
        </is>
      </c>
      <c r="C78" s="137" t="n">
        <v>46350</v>
      </c>
      <c r="D78" s="138" t="n">
        <v>700</v>
      </c>
      <c r="E78" s="33" t="inlineStr">
        <is>
          <t>Card</t>
        </is>
      </c>
      <c r="F78" s="33" t="inlineStr">
        <is>
          <t>Dues &amp; subscriptions</t>
        </is>
      </c>
      <c r="G78" s="137" t="n">
        <v>46350</v>
      </c>
      <c r="H78" s="18">
        <f>IF(G78&lt;Assumptions!$B$5,"Before",IF(G78&gt;Assumptions!$C$48,"After",INT((G78-Assumptions!$B$5)/7)+1))</f>
        <v>4</v>
      </c>
      <c r="I78" s="18" t="inlineStr">
        <is>
          <t>Repeating template</t>
        </is>
      </c>
      <c r="J78" s="115" t="inlineStr">
        <is>
          <t>PL / DL cards - all in the card line.</t>
        </is>
      </c>
      <c r="K78" s="18" t="str">
        <f>IF(AND('Creditors Run'!$B$5=1,I78="Xero bill",LEFT(J78,4)&lt;&gt;"PAID"),"No - in the creditors run","Yes")</f>
        <v>Yes</v>
      </c>
    </row>
    <row r="79" s="109">
      <c r="A79" s="18" t="inlineStr">
        <is>
          <t>Zoom</t>
        </is>
      </c>
      <c r="B79" s="110" t="inlineStr">
        <is>
          <t>Monthly subscription - November</t>
        </is>
      </c>
      <c r="C79" s="137" t="n">
        <v>46354</v>
      </c>
      <c r="D79" s="138" t="n">
        <v>323.97</v>
      </c>
      <c r="E79" s="33" t="inlineStr">
        <is>
          <t>Card</t>
        </is>
      </c>
      <c r="F79" s="33" t="inlineStr">
        <is>
          <t>Dues &amp; subscriptions</t>
        </is>
      </c>
      <c r="G79" s="137" t="n">
        <v>46356</v>
      </c>
      <c r="H79" s="18">
        <f>IF(G79&lt;Assumptions!$B$5,"Before",IF(G79&gt;Assumptions!$C$48,"After",INT((G79-Assumptions!$B$5)/7)+1))</f>
        <v>5</v>
      </c>
      <c r="I79" s="18" t="inlineStr">
        <is>
          <t>Repeating template</t>
        </is>
      </c>
      <c r="J79" s="115" t="inlineStr">
        <is>
          <t>PL card.</t>
        </is>
      </c>
      <c r="K79" s="18" t="str">
        <f>IF(AND('Creditors Run'!$B$5=1,I79="Xero bill",LEFT(J79,4)&lt;&gt;"PAID"),"No - in the creditors run","Yes")</f>
        <v>Yes</v>
      </c>
    </row>
    <row r="80" s="109">
      <c r="A80" s="18" t="inlineStr">
        <is>
          <t>Employment Hero</t>
        </is>
      </c>
      <c r="B80" s="110" t="inlineStr">
        <is>
          <t>Subscription - October</t>
        </is>
      </c>
      <c r="C80" s="137" t="n">
        <v>46355</v>
      </c>
      <c r="D80" s="138" t="n">
        <v>2048.2</v>
      </c>
      <c r="E80" s="33" t="inlineStr">
        <is>
          <t>Card</t>
        </is>
      </c>
      <c r="F80" s="33" t="inlineStr">
        <is>
          <t>Dues &amp; subscriptions</t>
        </is>
      </c>
      <c r="G80" s="137" t="n">
        <v>46356</v>
      </c>
      <c r="H80" s="18">
        <f>IF(G80&lt;Assumptions!$B$5,"Before",IF(G80&gt;Assumptions!$C$48,"After",INT((G80-Assumptions!$B$5)/7)+1))</f>
        <v>5</v>
      </c>
      <c r="I80" s="18" t="inlineStr">
        <is>
          <t>Repeating template</t>
        </is>
      </c>
      <c r="J80" s="115" t="inlineStr">
        <is>
          <t>PL card - in the card line.</t>
        </is>
      </c>
      <c r="K80" s="18" t="str">
        <f>IF(AND('Creditors Run'!$B$5=1,I80="Xero bill",LEFT(J80,4)&lt;&gt;"PAID"),"No - in the creditors run","Yes")</f>
        <v>Yes</v>
      </c>
    </row>
    <row r="81">
      <c r="A81" s="18" t="inlineStr">
        <is>
          <t>Goget Carshare</t>
        </is>
      </c>
      <c r="B81" s="110" t="inlineStr">
        <is>
          <t>October usage</t>
        </is>
      </c>
      <c r="C81" s="137" t="n">
        <v>46355</v>
      </c>
      <c r="D81" s="138" t="n">
        <v>1783.07</v>
      </c>
      <c r="E81" s="33" t="inlineStr">
        <is>
          <t>Card</t>
        </is>
      </c>
      <c r="F81" s="33" t="inlineStr">
        <is>
          <t>Direct travel &amp; freight</t>
        </is>
      </c>
      <c r="G81" s="137" t="n">
        <v>46356</v>
      </c>
      <c r="H81" s="18">
        <f>IF(G81&lt;Assumptions!$B$5,"Before",IF(G81&gt;Assumptions!$C$48,"After",INT((G81-Assumptions!$B$5)/7)+1))</f>
        <v>5</v>
      </c>
      <c r="I81" s="18" t="inlineStr">
        <is>
          <t>Repeating template</t>
        </is>
      </c>
      <c r="J81" s="115" t="inlineStr">
        <is>
          <t>PL card - in the card line.</t>
        </is>
      </c>
      <c r="K81" s="18" t="str">
        <f>IF(AND('Creditors Run'!$B$5=1,I81="Xero bill",LEFT(J81,4)&lt;&gt;"PAID"),"No - in the creditors run","Yes")</f>
        <v>Yes</v>
      </c>
    </row>
    <row r="82">
      <c r="A82" s="18" t="inlineStr">
        <is>
          <t>SPACERA</t>
        </is>
      </c>
      <c r="B82" s="110" t="inlineStr">
        <is>
          <t>Aware Super national support - November</t>
        </is>
      </c>
      <c r="C82" s="137" t="n">
        <v>46357</v>
      </c>
      <c r="D82" s="138" t="n">
        <v>5728.8</v>
      </c>
      <c r="E82" s="33" t="inlineStr">
        <is>
          <t>EFT</t>
        </is>
      </c>
      <c r="F82" s="33" t="inlineStr">
        <is>
          <t>Client subscriptions</t>
        </is>
      </c>
      <c r="G82" s="137" t="n">
        <v>46357</v>
      </c>
      <c r="H82" s="18">
        <f>IF(G82&lt;Assumptions!$B$5,"Before",IF(G82&gt;Assumptions!$C$48,"After",INT((G82-Assumptions!$B$5)/7)+1))</f>
        <v>5</v>
      </c>
      <c r="I82" s="18" t="inlineStr">
        <is>
          <t>Repeating template</t>
        </is>
      </c>
      <c r="J82" s="115" t="inlineStr">
        <is>
          <t>Due Tue 1 Dec - week 5.</t>
        </is>
      </c>
      <c r="K82" s="18" t="str">
        <f>IF(AND('Creditors Run'!$B$5=1,I82="Xero bill",LEFT(J82,4)&lt;&gt;"PAID"),"No - in the creditors run","Yes")</f>
        <v>Yes</v>
      </c>
    </row>
    <row r="83">
      <c r="A83" s="18" t="inlineStr">
        <is>
          <t>Investa Asset Management</t>
        </is>
      </c>
      <c r="B83" s="110" t="inlineStr">
        <is>
          <t>Rent December 2026</t>
        </is>
      </c>
      <c r="C83" s="137" t="n">
        <v>46357</v>
      </c>
      <c r="D83" s="138" t="n">
        <v>28895.72</v>
      </c>
      <c r="E83" s="33" t="inlineStr">
        <is>
          <t>EFT</t>
        </is>
      </c>
      <c r="F83" s="33" t="inlineStr">
        <is>
          <t>Rent</t>
        </is>
      </c>
      <c r="G83" s="137" t="n">
        <v>46357</v>
      </c>
      <c r="H83" s="18">
        <f>IF(G83&lt;Assumptions!$B$5,"Before",IF(G83&gt;Assumptions!$C$48,"After",INT((G83-Assumptions!$B$5)/7)+1))</f>
        <v>5</v>
      </c>
      <c r="I83" s="18" t="inlineStr">
        <is>
          <t>Repeating template</t>
        </is>
      </c>
      <c r="J83" s="115" t="inlineStr">
        <is>
          <t>Billed 1 Dec. Last two months were paid on the day, so it lands in week 5 (Tue 1 Dec). Push the date out if the Dec run is later.</t>
        </is>
      </c>
      <c r="K83" s="18" t="str">
        <f>IF(AND('Creditors Run'!$B$5=1,I83="Xero bill",LEFT(J83,4)&lt;&gt;"PAID"),"No - in the creditors run","Yes")</f>
        <v>Yes</v>
      </c>
    </row>
    <row r="84">
      <c r="A84" s="18" t="inlineStr">
        <is>
          <t>Posh Services (Ambius)</t>
        </is>
      </c>
      <c r="B84" s="110" t="inlineStr">
        <is>
          <t>Indoor plants - November</t>
        </is>
      </c>
      <c r="C84" s="137" t="n">
        <v>46365</v>
      </c>
      <c r="D84" s="138" t="n">
        <v>245</v>
      </c>
      <c r="E84" s="33" t="inlineStr">
        <is>
          <t>EFT</t>
        </is>
      </c>
      <c r="F84" s="33" t="inlineStr">
        <is>
          <t>Office</t>
        </is>
      </c>
      <c r="G84" s="137" t="n">
        <v>46365</v>
      </c>
      <c r="H84" s="18" t="str">
        <f>IF(G84&lt;Assumptions!$B$5,"Before",IF(G84&gt;Assumptions!$C$48,"After",INT((G84-Assumptions!$B$5)/7)+1))</f>
        <v>After</v>
      </c>
      <c r="I84" s="18" t="inlineStr">
        <is>
          <t>Repeating template</t>
        </is>
      </c>
      <c r="J84" s="115" t="inlineStr">
        <is>
          <t>After this forecast.</t>
        </is>
      </c>
      <c r="K84" s="18" t="str">
        <f>IF(AND('Creditors Run'!$B$5=1,I84="Xero bill",LEFT(J84,4)&lt;&gt;"PAID"),"No - in the creditors run","Yes")</f>
        <v>Yes</v>
      </c>
    </row>
    <row r="85">
      <c r="A85" s="18" t="inlineStr">
        <is>
          <t>Optus</t>
        </is>
      </c>
      <c r="B85" s="110" t="inlineStr">
        <is>
          <t>Staff mobiles - November</t>
        </is>
      </c>
      <c r="C85" s="137" t="n">
        <v>46365</v>
      </c>
      <c r="D85" s="138" t="n">
        <v>804.0599999999999</v>
      </c>
      <c r="E85" s="33" t="inlineStr">
        <is>
          <t>BPAY</t>
        </is>
      </c>
      <c r="F85" s="33" t="inlineStr">
        <is>
          <t>Telephone &amp; internet</t>
        </is>
      </c>
      <c r="G85" s="137" t="n">
        <v>46365</v>
      </c>
      <c r="H85" s="18" t="str">
        <f>IF(G85&lt;Assumptions!$B$5,"Before",IF(G85&gt;Assumptions!$C$48,"After",INT((G85-Assumptions!$B$5)/7)+1))</f>
        <v>After</v>
      </c>
      <c r="I85" s="18" t="inlineStr">
        <is>
          <t>Repeating template</t>
        </is>
      </c>
      <c r="J85" s="115" t="inlineStr">
        <is>
          <t>After this forecast.</t>
        </is>
      </c>
      <c r="K85" s="18" t="str">
        <f>IF(AND('Creditors Run'!$B$5=1,I85="Xero bill",LEFT(J85,4)&lt;&gt;"PAID"),"No - in the creditors run","Yes")</f>
        <v>Yes</v>
      </c>
    </row>
    <row r="86">
      <c r="A86" s="18" t="inlineStr">
        <is>
          <t>The CEO Institute</t>
        </is>
      </c>
      <c r="B86" s="110" t="inlineStr">
        <is>
          <t>Executive membership (JS) - quarterly</t>
        </is>
      </c>
      <c r="C86" s="137" t="n">
        <v>46363</v>
      </c>
      <c r="D86" s="138" t="n">
        <v>2310</v>
      </c>
      <c r="E86" s="33" t="inlineStr">
        <is>
          <t>EFT</t>
        </is>
      </c>
      <c r="F86" s="33" t="inlineStr">
        <is>
          <t>Dues &amp; subscriptions</t>
        </is>
      </c>
      <c r="G86" s="137" t="n">
        <v>46363</v>
      </c>
      <c r="H86" s="18" t="str">
        <f>IF(G86&lt;Assumptions!$B$5,"Before",IF(G86&gt;Assumptions!$C$48,"After",INT((G86-Assumptions!$B$5)/7)+1))</f>
        <v>After</v>
      </c>
      <c r="I86" s="18" t="inlineStr">
        <is>
          <t>Repeating template</t>
        </is>
      </c>
      <c r="J86" s="115" t="inlineStr">
        <is>
          <t>After this forecast.</t>
        </is>
      </c>
      <c r="K86" s="18" t="str">
        <f>IF(AND('Creditors Run'!$B$5=1,I86="Xero bill",LEFT(J86,4)&lt;&gt;"PAID"),"No - in the creditors run","Yes")</f>
        <v>Yes</v>
      </c>
    </row>
    <row r="87">
      <c r="A87" s="18" t="inlineStr">
        <is>
          <t>AVIXA</t>
        </is>
      </c>
      <c r="B87" s="110" t="inlineStr">
        <is>
          <t>DL annual silver membership</t>
        </is>
      </c>
      <c r="C87" s="137" t="n">
        <v>46367</v>
      </c>
      <c r="D87" s="138" t="n">
        <v>2850</v>
      </c>
      <c r="E87" s="33" t="inlineStr">
        <is>
          <t>EFT</t>
        </is>
      </c>
      <c r="F87" s="33" t="inlineStr">
        <is>
          <t>Dues &amp; subscriptions</t>
        </is>
      </c>
      <c r="G87" s="137" t="n">
        <v>46367</v>
      </c>
      <c r="H87" s="18" t="str">
        <f>IF(G87&lt;Assumptions!$B$5,"Before",IF(G87&gt;Assumptions!$C$48,"After",INT((G87-Assumptions!$B$5)/7)+1))</f>
        <v>After</v>
      </c>
      <c r="I87" s="18" t="inlineStr">
        <is>
          <t>Repeating template</t>
        </is>
      </c>
      <c r="J87" s="115" t="inlineStr">
        <is>
          <t>After this forecast.</t>
        </is>
      </c>
      <c r="K87" s="18" t="str">
        <f>IF(AND('Creditors Run'!$B$5=1,I87="Xero bill",LEFT(J87,4)&lt;&gt;"PAID"),"No - in the creditors run","Yes")</f>
        <v>Yes</v>
      </c>
    </row>
    <row r="88">
      <c r="A88" s="18" t="n"/>
      <c r="B88" s="110" t="n"/>
      <c r="C88" s="137" t="n"/>
      <c r="D88" s="138" t="n"/>
      <c r="E88" s="33" t="n"/>
      <c r="F88" s="33" t="n"/>
      <c r="G88" s="137" t="n"/>
      <c r="H88" s="18" t="str">
        <f>IF(G88&lt;Assumptions!$B$5,"Before",IF(G88&gt;Assumptions!$C$48,"After",INT((G88-Assumptions!$B$5)/7)+1))</f>
        <v>Before</v>
      </c>
      <c r="I88" s="18" t="n"/>
      <c r="J88" s="115" t="n"/>
      <c r="K88" s="18" t="str">
        <f>IF(AND('Creditors Run'!$B$5=1,I88="Xero bill",LEFT(J88,4)&lt;&gt;"PAID"),"No - in the creditors run","Yes")</f>
        <v>Yes</v>
      </c>
    </row>
    <row r="89">
      <c r="A89" s="18" t="n"/>
      <c r="B89" s="110" t="n"/>
      <c r="C89" s="137" t="n"/>
      <c r="D89" s="138" t="n"/>
      <c r="E89" s="33" t="n"/>
      <c r="F89" s="33" t="n"/>
      <c r="G89" s="137" t="n"/>
      <c r="H89" s="18" t="str">
        <f>IF(G89&lt;Assumptions!$B$5,"Before",IF(G89&gt;Assumptions!$C$48,"After",INT((G89-Assumptions!$B$5)/7)+1))</f>
        <v>Before</v>
      </c>
      <c r="I89" s="18" t="n"/>
      <c r="J89" s="115" t="n"/>
      <c r="K89" s="18" t="str">
        <f>IF(AND('Creditors Run'!$B$5=1,I89="Xero bill",LEFT(J89,4)&lt;&gt;"PAID"),"No - in the creditors run","Yes")</f>
        <v>Yes</v>
      </c>
    </row>
    <row r="90">
      <c r="A90" s="18" t="n"/>
      <c r="B90" s="110" t="n"/>
      <c r="C90" s="137" t="n"/>
      <c r="D90" s="138" t="n"/>
      <c r="E90" s="33" t="n"/>
      <c r="F90" s="33" t="n"/>
      <c r="G90" s="137" t="n"/>
      <c r="H90" s="18" t="str">
        <f>IF(G90&lt;Assumptions!$B$5,"Before",IF(G90&gt;Assumptions!$C$48,"After",INT((G90-Assumptions!$B$5)/7)+1))</f>
        <v>Before</v>
      </c>
      <c r="I90" s="18" t="n"/>
      <c r="J90" s="115" t="n"/>
      <c r="K90" s="18" t="str">
        <f>IF(AND('Creditors Run'!$B$5=1,I90="Xero bill",LEFT(J90,4)&lt;&gt;"PAID"),"No - in the creditors run","Yes")</f>
        <v>Yes</v>
      </c>
    </row>
    <row r="91">
      <c r="A91" s="18" t="n"/>
      <c r="B91" s="110" t="n"/>
      <c r="C91" s="137" t="n"/>
      <c r="D91" s="138" t="n"/>
      <c r="E91" s="33" t="n"/>
      <c r="F91" s="33" t="n"/>
      <c r="G91" s="137" t="n"/>
      <c r="H91" s="18" t="str">
        <f>IF(G91&lt;Assumptions!$B$5,"Before",IF(G91&gt;Assumptions!$C$48,"After",INT((G91-Assumptions!$B$5)/7)+1))</f>
        <v>Before</v>
      </c>
      <c r="I91" s="18" t="n"/>
      <c r="J91" s="115" t="n"/>
      <c r="K91" s="18" t="str">
        <f>IF(AND('Creditors Run'!$B$5=1,I91="Xero bill",LEFT(J91,4)&lt;&gt;"PAID"),"No - in the creditors run","Yes")</f>
        <v>Yes</v>
      </c>
    </row>
    <row r="92">
      <c r="A92" s="18" t="n"/>
      <c r="B92" s="110" t="n"/>
      <c r="C92" s="137" t="n"/>
      <c r="D92" s="138" t="n"/>
      <c r="E92" s="33" t="n"/>
      <c r="F92" s="33" t="n"/>
      <c r="G92" s="137" t="n"/>
      <c r="H92" s="18" t="str">
        <f>IF(G92&lt;Assumptions!$B$5,"Before",IF(G92&gt;Assumptions!$C$48,"After",INT((G92-Assumptions!$B$5)/7)+1))</f>
        <v>Before</v>
      </c>
      <c r="I92" s="18" t="n"/>
      <c r="J92" s="115" t="n"/>
      <c r="K92" s="18" t="str">
        <f>IF(AND('Creditors Run'!$B$5=1,I92="Xero bill",LEFT(J92,4)&lt;&gt;"PAID"),"No - in the creditors run","Yes")</f>
        <v>Yes</v>
      </c>
    </row>
    <row r="93">
      <c r="A93" s="18" t="n"/>
      <c r="B93" s="110" t="n"/>
      <c r="C93" s="137" t="n"/>
      <c r="D93" s="138" t="n"/>
      <c r="E93" s="33" t="n"/>
      <c r="F93" s="33" t="n"/>
      <c r="G93" s="137" t="n"/>
      <c r="H93" s="18" t="str">
        <f>IF(G93&lt;Assumptions!$B$5,"Before",IF(G93&gt;Assumptions!$C$48,"After",INT((G93-Assumptions!$B$5)/7)+1))</f>
        <v>Before</v>
      </c>
      <c r="I93" s="18" t="n"/>
      <c r="J93" s="115" t="n"/>
      <c r="K93" s="18" t="str">
        <f>IF(AND('Creditors Run'!$B$5=1,I93="Xero bill",LEFT(J93,4)&lt;&gt;"PAID"),"No - in the creditors run","Yes")</f>
        <v>Yes</v>
      </c>
    </row>
    <row r="94">
      <c r="A94" s="18" t="n"/>
      <c r="B94" s="110" t="n"/>
      <c r="C94" s="137" t="n"/>
      <c r="D94" s="138" t="n"/>
      <c r="E94" s="33" t="n"/>
      <c r="F94" s="33" t="n"/>
      <c r="G94" s="137" t="n"/>
      <c r="H94" s="18" t="str">
        <f>IF(G94&lt;Assumptions!$B$5,"Before",IF(G94&gt;Assumptions!$C$48,"After",INT((G94-Assumptions!$B$5)/7)+1))</f>
        <v>Before</v>
      </c>
      <c r="I94" s="18" t="n"/>
      <c r="J94" s="115" t="n"/>
      <c r="K94" s="18" t="str">
        <f>IF(AND('Creditors Run'!$B$5=1,I94="Xero bill",LEFT(J94,4)&lt;&gt;"PAID"),"No - in the creditors run","Yes")</f>
        <v>Yes</v>
      </c>
    </row>
    <row r="95">
      <c r="A95" s="18" t="n"/>
      <c r="B95" s="110" t="n"/>
      <c r="C95" s="137" t="n"/>
      <c r="D95" s="138" t="n"/>
      <c r="E95" s="33" t="n"/>
      <c r="F95" s="33" t="n"/>
      <c r="G95" s="137" t="n"/>
      <c r="H95" s="18" t="str">
        <f>IF(G95&lt;Assumptions!$B$5,"Before",IF(G95&gt;Assumptions!$C$48,"After",INT((G95-Assumptions!$B$5)/7)+1))</f>
        <v>Before</v>
      </c>
      <c r="I95" s="18" t="n"/>
      <c r="J95" s="115" t="n"/>
      <c r="K95" s="18" t="str">
        <f>IF(AND('Creditors Run'!$B$5=1,I95="Xero bill",LEFT(J95,4)&lt;&gt;"PAID"),"No - in the creditors run","Yes")</f>
        <v>Yes</v>
      </c>
    </row>
    <row r="96"/>
    <row r="97">
      <c r="A97" s="13" t="inlineStr">
        <is>
          <t>TOTAL bills listed from Xero (aged payables at 29 Oct, should be $158,464.01)</t>
        </is>
      </c>
      <c r="B97" s="16" t="n"/>
      <c r="C97" s="16" t="n"/>
      <c r="D97" s="142">
        <f>SUMIFS(D19:D95,I19:I95,"Xero bill")</f>
        <v>158464.01</v>
      </c>
      <c r="E97" s="16" t="n"/>
      <c r="F97" s="16" t="n"/>
      <c r="G97" s="16" t="n"/>
      <c r="H97" s="16" t="n"/>
      <c r="I97" s="16" t="n"/>
      <c r="J97" s="16" t="n"/>
    </row>
    <row r="98">
      <c r="A98" s="29" t="inlineStr">
        <is>
          <t>of which paid by card (left out - see the credit card line)</t>
        </is>
      </c>
      <c r="D98" s="143">
        <f>SUMIFS(D19:D95,E19:E95,"Card",I19:I95,"Xero bill")</f>
        <v>4211.23</v>
      </c>
    </row>
    <row r="99">
      <c r="A99" s="29" t="inlineStr">
        <is>
          <t>Templates (non-card) inside the forecast</t>
        </is>
      </c>
      <c r="D99" s="143">
        <f>SUMIFS(D19:D95,I19:I95,"Repeating template",E19:E95,"&lt;&gt;Card",G19:G95,"&gt;="&amp;Assumptions!$B$5,G19:G95,"&lt;="&amp;Assumptions!$C$48)</f>
        <v>89107.71</v>
      </c>
    </row>
    <row r="100">
      <c r="A100" s="29" t="inlineStr">
        <is>
          <t>Non-card bills dated past the forecast (Oct rent, Oct mobiles)</t>
        </is>
      </c>
      <c r="D100" s="143">
        <f>SUMIFS(D19:D95,E19:E95,"&lt;&gt;Card",G19:G95,"&gt;"&amp;Assumptions!$C$48)</f>
        <v>6209.0599999999995</v>
      </c>
    </row>
  </sheetData>
  <autoFilter ref="A18:J60"/>
  <mergeCells count="1">
    <mergeCell ref="A17:J17"/>
  </mergeCells>
  <conditionalFormatting sqref="A19:J60">
    <cfRule type="expression" priority="1" dxfId="0">
      <formula>$H19=1</formula>
    </cfRule>
  </conditionalFormatting>
  <pageMargins left="0.75" right="0.75" top="1" bottom="1" header="0.5" footer="0.5"/>
  <pageSetup orientation="landscape"/>
</worksheet>
</file>

<file path=xl/worksheets/sheet6.xml><?xml version="1.0" encoding="utf-8"?>
<worksheet xmlns="http://schemas.openxmlformats.org/spreadsheetml/2006/main">
  <sheetPr>
    <outlinePr summaryBelow="1" summaryRight="1"/>
    <pageSetUpPr/>
  </sheetPr>
  <dimension ref="A1:N510"/>
  <sheetViews>
    <sheetView workbookViewId="0">
      <pane ySplit="10" topLeftCell="A11" activePane="bottomLeft" state="frozen"/>
      <selection pane="bottomLeft" activeCell="A1" sqref="A1"/>
    </sheetView>
  </sheetViews>
  <sheetFormatPr baseColWidth="8" defaultRowHeight="15"/>
  <cols>
    <col width="11" customWidth="1" style="109" min="1" max="1"/>
    <col width="9" customWidth="1" style="109" min="2" max="2"/>
    <col width="16" customWidth="1" style="109" min="3" max="3"/>
    <col width="9" customWidth="1" style="109" min="4" max="4"/>
    <col width="52" customWidth="1" style="109" min="5" max="5"/>
    <col width="8" customWidth="1" style="109" min="6" max="6"/>
    <col width="13" customWidth="1" style="109" min="7" max="7"/>
    <col width="11" customWidth="1" style="109" min="8" max="8"/>
    <col width="12" customWidth="1" style="109" min="9" max="9"/>
    <col width="12" customWidth="1" style="109" min="10" max="10"/>
    <col width="16" customWidth="1" style="109" min="11" max="11"/>
    <col width="13" customWidth="1" style="109" min="12" max="12"/>
    <col width="10" customWidth="1" style="109" min="13" max="13"/>
    <col width="12" customWidth="1" style="109" min="14" max="14"/>
  </cols>
  <sheetData>
    <row r="1">
      <c r="A1" s="1" t="inlineStr">
        <is>
          <t>Creditors run - paste the Xero aged payables detail straight in</t>
        </is>
      </c>
    </row>
    <row r="2" ht="62" customHeight="1" s="109">
      <c r="A2" s="184" t="inlineStr">
        <is>
          <t>How it works: run the aged payables detail in Xero, export it, and paste the lines in from row 11 (columns A to K, same order as the report). Anything with a date in column A and a number in Gross gets counted - the contact and total lines the report adds are ignored. Every bill goes out on the run date in B4 unless you type a date in L, and an x in M leaves a line out (card bills - they sit in the card line). With B5 at 1 the Cash Flow Creditors run row takes these numbers and the Payables tab stops counting its Xero bill rows, so nothing is counted twice.</t>
        </is>
      </c>
    </row>
    <row r="4">
      <c r="A4" t="inlineStr">
        <is>
          <t>Creditors run pay date</t>
        </is>
      </c>
      <c r="B4" s="192" t="n">
        <v>46328</v>
      </c>
      <c r="C4" t="inlineStr">
        <is>
          <t>Mon 2 Nov (1 Nov is a Sunday). Change it each month. Anything with its own date in column L ignores this.</t>
        </is>
      </c>
    </row>
    <row r="5">
      <c r="A5" t="inlineStr">
        <is>
          <t>Use this paste for the forecast? (1 = yes, 0 = use the Payables tab rows instead)</t>
        </is>
      </c>
      <c r="B5" s="186" t="n">
        <v>1</v>
      </c>
    </row>
    <row r="6">
      <c r="A6" t="inlineStr">
        <is>
          <t>Total open per the paste (what the forecast uses, before any x)</t>
        </is>
      </c>
      <c r="B6" s="187">
        <f>SUMPRODUCT((A11:A510&lt;&gt;"")*ISNUMBER(I11:I510),I11:I510)</f>
        <v>158464.01</v>
      </c>
    </row>
    <row r="7">
      <c r="A7" t="inlineStr">
        <is>
          <t>Report total per Xero (type it from the bottom of the report)</t>
        </is>
      </c>
      <c r="B7" s="188" t="n">
        <v>158464.01</v>
      </c>
    </row>
    <row r="8">
      <c r="A8" t="inlineStr">
        <is>
          <t>Difference - should be nil</t>
        </is>
      </c>
      <c r="B8" s="187">
        <f>IF(B7="","",B6-B7)</f>
        <v>0</v>
      </c>
    </row>
    <row r="10" ht="30" customHeight="1" s="109">
      <c r="A10" s="189" t="inlineStr">
        <is>
          <t>Invoice Date</t>
        </is>
      </c>
      <c r="B10" s="189" t="inlineStr">
        <is>
          <t>Source</t>
        </is>
      </c>
      <c r="C10" s="189" t="inlineStr">
        <is>
          <t>Reference</t>
        </is>
      </c>
      <c r="D10" s="189" t="inlineStr">
        <is>
          <t>Item Code</t>
        </is>
      </c>
      <c r="E10" s="189" t="inlineStr">
        <is>
          <t>Description</t>
        </is>
      </c>
      <c r="F10" s="189" t="inlineStr">
        <is>
          <t>Quantity</t>
        </is>
      </c>
      <c r="G10" s="189" t="inlineStr">
        <is>
          <t>Unit Price (ex)</t>
        </is>
      </c>
      <c r="H10" s="189" t="inlineStr">
        <is>
          <t>GST</t>
        </is>
      </c>
      <c r="I10" s="189" t="inlineStr">
        <is>
          <t>Gross</t>
        </is>
      </c>
      <c r="J10" s="189" t="inlineStr">
        <is>
          <t>Invoice Total</t>
        </is>
      </c>
      <c r="K10" s="189" t="inlineStr">
        <is>
          <t>Status</t>
        </is>
      </c>
      <c r="L10" s="189" t="inlineStr">
        <is>
          <t>Pay on (optional)</t>
        </is>
      </c>
      <c r="M10" s="189" t="inlineStr">
        <is>
          <t>Exclude (x)</t>
        </is>
      </c>
      <c r="N10" s="189" t="inlineStr">
        <is>
          <t>Pay date used</t>
        </is>
      </c>
    </row>
    <row r="11">
      <c r="A11" s="193" t="n">
        <v>46295</v>
      </c>
      <c r="B11" t="inlineStr">
        <is>
          <t>Bill</t>
        </is>
      </c>
      <c r="C11" t="inlineStr">
        <is>
          <t>INV1918462</t>
        </is>
      </c>
      <c r="E11" t="inlineStr">
        <is>
          <t>Brookvale Insurance Brokers - IT liability insurance (annual)</t>
        </is>
      </c>
      <c r="G11" s="187" t="n">
        <v>32254.45</v>
      </c>
      <c r="H11" s="187" t="n">
        <v>3050.02</v>
      </c>
      <c r="I11" s="187" t="n">
        <v>35304.46</v>
      </c>
      <c r="J11" s="187" t="n">
        <v>35304.46</v>
      </c>
      <c r="K11" t="inlineStr">
        <is>
          <t>Awaiting Payment</t>
        </is>
      </c>
      <c r="L11" s="192" t="n"/>
      <c r="N11" s="193">
        <f>IF(L11="",$B$4,L11)</f>
        <v>46328</v>
      </c>
    </row>
    <row r="12">
      <c r="A12" s="193" t="n">
        <v>46295</v>
      </c>
      <c r="B12" t="inlineStr">
        <is>
          <t>Bill</t>
        </is>
      </c>
      <c r="C12" t="inlineStr">
        <is>
          <t>INV1918336</t>
        </is>
      </c>
      <c r="E12" t="inlineStr">
        <is>
          <t>Brookvale Insurance Brokers - removable / electronic equipment insurance (annual)</t>
        </is>
      </c>
      <c r="G12" s="187" t="n">
        <v>10300.62</v>
      </c>
      <c r="H12" s="187" t="n">
        <v>982.54</v>
      </c>
      <c r="I12" s="187" t="n">
        <v>11283.16</v>
      </c>
      <c r="J12" s="187" t="n">
        <v>11283.16</v>
      </c>
      <c r="K12" t="inlineStr">
        <is>
          <t>Awaiting Payment</t>
        </is>
      </c>
      <c r="L12" s="192" t="n"/>
      <c r="N12" s="193">
        <f>IF(L12="",$B$4,L12)</f>
        <v>46328</v>
      </c>
    </row>
    <row r="13">
      <c r="A13" s="193" t="n">
        <v>46295</v>
      </c>
      <c r="B13" t="inlineStr">
        <is>
          <t>Bill</t>
        </is>
      </c>
      <c r="C13" t="inlineStr">
        <is>
          <t>INV1918436</t>
        </is>
      </c>
      <c r="E13" t="inlineStr">
        <is>
          <t>Brookvale Insurance Brokers - Mecon contract works insurance (annual)</t>
        </is>
      </c>
      <c r="G13" s="187" t="n">
        <v>7338.73</v>
      </c>
      <c r="H13" s="187" t="n">
        <v>681.66</v>
      </c>
      <c r="I13" s="187" t="n">
        <v>8020.39</v>
      </c>
      <c r="J13" s="187" t="n">
        <v>8020.39</v>
      </c>
      <c r="K13" t="inlineStr">
        <is>
          <t>Awaiting Payment</t>
        </is>
      </c>
      <c r="L13" s="192" t="n"/>
      <c r="N13" s="193">
        <f>IF(L13="",$B$4,L13)</f>
        <v>46328</v>
      </c>
    </row>
    <row r="14">
      <c r="A14" s="193" t="n">
        <v>46295</v>
      </c>
      <c r="B14" t="inlineStr">
        <is>
          <t>Bill</t>
        </is>
      </c>
      <c r="C14" t="inlineStr">
        <is>
          <t>INV1920058</t>
        </is>
      </c>
      <c r="E14" t="inlineStr">
        <is>
          <t>Brookvale Insurance Brokers - management liability insurance (annual)</t>
        </is>
      </c>
      <c r="G14" s="187" t="n">
        <v>6195.64</v>
      </c>
      <c r="H14" s="187" t="n">
        <v>582.5700000000001</v>
      </c>
      <c r="I14" s="187" t="n">
        <v>6778.21</v>
      </c>
      <c r="J14" s="187" t="n">
        <v>6778.21</v>
      </c>
      <c r="K14" t="inlineStr">
        <is>
          <t>Awaiting Payment</t>
        </is>
      </c>
      <c r="L14" s="192" t="n"/>
      <c r="N14" s="193">
        <f>IF(L14="",$B$4,L14)</f>
        <v>46328</v>
      </c>
    </row>
    <row r="15">
      <c r="A15" s="193" t="n">
        <v>46295</v>
      </c>
      <c r="B15" t="inlineStr">
        <is>
          <t>Bill</t>
        </is>
      </c>
      <c r="C15" t="inlineStr">
        <is>
          <t>INV1920113</t>
        </is>
      </c>
      <c r="E15" t="inlineStr">
        <is>
          <t>Brookvale Insurance Brokers - business pack insurance (annual)</t>
        </is>
      </c>
      <c r="G15" s="187" t="n">
        <v>3211.96</v>
      </c>
      <c r="H15" s="187" t="n">
        <v>298.57</v>
      </c>
      <c r="I15" s="187" t="n">
        <v>3510.52</v>
      </c>
      <c r="J15" s="187" t="n">
        <v>3510.52</v>
      </c>
      <c r="K15" t="inlineStr">
        <is>
          <t>Awaiting Payment</t>
        </is>
      </c>
      <c r="L15" s="192" t="n"/>
      <c r="N15" s="193">
        <f>IF(L15="",$B$4,L15)</f>
        <v>46328</v>
      </c>
    </row>
    <row r="16">
      <c r="A16" s="193" t="n">
        <v>46295</v>
      </c>
      <c r="B16" t="inlineStr">
        <is>
          <t>Bill</t>
        </is>
      </c>
      <c r="C16" t="inlineStr">
        <is>
          <t>INV1914759</t>
        </is>
      </c>
      <c r="E16" t="inlineStr">
        <is>
          <t>Brookvale Insurance Brokers - corporate travel insurance (annual)</t>
        </is>
      </c>
      <c r="G16" s="187" t="n">
        <v>1246.49</v>
      </c>
      <c r="H16" s="187" t="n">
        <v>95.75</v>
      </c>
      <c r="I16" s="187" t="n">
        <v>1342.24</v>
      </c>
      <c r="J16" s="187" t="n">
        <v>1342.24</v>
      </c>
      <c r="K16" t="inlineStr">
        <is>
          <t>Awaiting Payment</t>
        </is>
      </c>
      <c r="L16" s="192" t="n"/>
      <c r="N16" s="193">
        <f>IF(L16="",$B$4,L16)</f>
        <v>46328</v>
      </c>
    </row>
    <row r="17">
      <c r="A17" s="193" t="n">
        <v>46289</v>
      </c>
      <c r="B17" t="inlineStr">
        <is>
          <t>Bill</t>
        </is>
      </c>
      <c r="C17" t="inlineStr">
        <is>
          <t>INV00133660</t>
        </is>
      </c>
      <c r="E17" t="inlineStr">
        <is>
          <t>Appspace - Appspace licensing for Aware Super (balance)</t>
        </is>
      </c>
      <c r="G17" s="187" t="n">
        <v>17343.33</v>
      </c>
      <c r="H17" s="187" t="n">
        <v>1734.33</v>
      </c>
      <c r="I17" s="187" t="n">
        <v>19077.66</v>
      </c>
      <c r="J17" s="187" t="n">
        <v>19077.66</v>
      </c>
      <c r="K17" t="inlineStr">
        <is>
          <t>Awaiting Payment</t>
        </is>
      </c>
      <c r="L17" s="192" t="n"/>
      <c r="N17" s="193">
        <f>IF(L17="",$B$4,L17)</f>
        <v>46328</v>
      </c>
    </row>
    <row r="18">
      <c r="A18" s="193" t="n">
        <v>46309</v>
      </c>
      <c r="B18" t="inlineStr">
        <is>
          <t>Bill</t>
        </is>
      </c>
      <c r="C18" t="inlineStr">
        <is>
          <t>INV-202222</t>
        </is>
      </c>
      <c r="E18" t="inlineStr">
        <is>
          <t>Start Webcast - CBA AGM 2026 equipment &amp; services</t>
        </is>
      </c>
      <c r="G18" s="187" t="n">
        <v>11624.6</v>
      </c>
      <c r="H18" s="187" t="n">
        <v>1162.46</v>
      </c>
      <c r="I18" s="187" t="n">
        <v>12787.06</v>
      </c>
      <c r="J18" s="187" t="n">
        <v>12787.06</v>
      </c>
      <c r="K18" t="inlineStr">
        <is>
          <t>Awaiting Payment</t>
        </is>
      </c>
      <c r="L18" s="192" t="n"/>
      <c r="N18" s="193">
        <f>IF(L18="",$B$4,L18)</f>
        <v>46328</v>
      </c>
    </row>
    <row r="19">
      <c r="A19" s="193" t="n">
        <v>46295</v>
      </c>
      <c r="B19" t="inlineStr">
        <is>
          <t>Bill</t>
        </is>
      </c>
      <c r="C19" t="inlineStr">
        <is>
          <t>INV457215</t>
        </is>
      </c>
      <c r="E19" t="inlineStr">
        <is>
          <t>Contact Group - DTTL Hobart AV fitout equipment &amp; labour</t>
        </is>
      </c>
      <c r="G19" s="187" t="n">
        <v>8775</v>
      </c>
      <c r="H19" s="187" t="n">
        <v>877.54</v>
      </c>
      <c r="I19" s="187" t="n">
        <v>9652.540000000001</v>
      </c>
      <c r="J19" s="187" t="n">
        <v>9652.540000000001</v>
      </c>
      <c r="K19" t="inlineStr">
        <is>
          <t>Awaiting Payment</t>
        </is>
      </c>
      <c r="L19" s="192" t="n"/>
      <c r="N19" s="193">
        <f>IF(L19="",$B$4,L19)</f>
        <v>46328</v>
      </c>
    </row>
    <row r="20">
      <c r="A20" s="193" t="n">
        <v>46295</v>
      </c>
      <c r="B20" t="inlineStr">
        <is>
          <t>Bill</t>
        </is>
      </c>
      <c r="C20" t="inlineStr">
        <is>
          <t>INV457214</t>
        </is>
      </c>
      <c r="E20" t="inlineStr">
        <is>
          <t>Contact Group - DTTL Hobart AV fitout equipment</t>
        </is>
      </c>
      <c r="G20" s="187" t="n">
        <v>821.25</v>
      </c>
      <c r="H20" s="187" t="n">
        <v>82.13</v>
      </c>
      <c r="I20" s="187" t="n">
        <v>903.38</v>
      </c>
      <c r="J20" s="187" t="n">
        <v>903.38</v>
      </c>
      <c r="K20" t="inlineStr">
        <is>
          <t>Awaiting Payment</t>
        </is>
      </c>
      <c r="L20" s="192" t="n"/>
      <c r="N20" s="193">
        <f>IF(L20="",$B$4,L20)</f>
        <v>46328</v>
      </c>
    </row>
    <row r="21">
      <c r="A21" s="193" t="n">
        <v>46296</v>
      </c>
      <c r="B21" t="inlineStr">
        <is>
          <t>Bill</t>
        </is>
      </c>
      <c r="C21" t="inlineStr">
        <is>
          <t>INV-0060</t>
        </is>
      </c>
      <c r="E21" t="inlineStr">
        <is>
          <t>SPACERA - Aware Super national support October</t>
        </is>
      </c>
      <c r="G21" s="187" t="n">
        <v>5208</v>
      </c>
      <c r="H21" s="187" t="n">
        <v>520.8</v>
      </c>
      <c r="I21" s="187" t="n">
        <v>5728.8</v>
      </c>
      <c r="J21" s="187" t="n">
        <v>5728.8</v>
      </c>
      <c r="K21" t="inlineStr">
        <is>
          <t>Awaiting Payment</t>
        </is>
      </c>
      <c r="L21" s="192" t="n"/>
      <c r="N21" s="193">
        <f>IF(L21="",$B$4,L21)</f>
        <v>46328</v>
      </c>
    </row>
    <row r="22">
      <c r="A22" s="193" t="n">
        <v>46295</v>
      </c>
      <c r="B22" t="inlineStr">
        <is>
          <t>Bill</t>
        </is>
      </c>
      <c r="C22" t="inlineStr">
        <is>
          <t>INV00004009</t>
        </is>
      </c>
      <c r="E22" t="inlineStr">
        <is>
          <t>Easton Belle - legal fees, general commercial file</t>
        </is>
      </c>
      <c r="G22" s="187" t="n">
        <v>3575</v>
      </c>
      <c r="H22" s="187" t="n">
        <v>357.5</v>
      </c>
      <c r="I22" s="187" t="n">
        <v>3932.5</v>
      </c>
      <c r="J22" s="187" t="n">
        <v>3932.5</v>
      </c>
      <c r="K22" t="inlineStr">
        <is>
          <t>Awaiting Payment</t>
        </is>
      </c>
      <c r="L22" s="192" t="n"/>
      <c r="N22" s="193">
        <f>IF(L22="",$B$4,L22)</f>
        <v>46328</v>
      </c>
    </row>
    <row r="23">
      <c r="A23" s="193" t="n">
        <v>46320</v>
      </c>
      <c r="B23" t="inlineStr">
        <is>
          <t>Bill</t>
        </is>
      </c>
      <c r="C23" t="inlineStr">
        <is>
          <t>INV15</t>
        </is>
      </c>
      <c r="E23" t="inlineStr">
        <is>
          <t>Headroom Audio Visual - CBA foldback monitor dry hire 21.10.26</t>
        </is>
      </c>
      <c r="G23" s="187" t="n">
        <v>2720</v>
      </c>
      <c r="H23" s="187" t="n">
        <v>272</v>
      </c>
      <c r="I23" s="187" t="n">
        <v>2992</v>
      </c>
      <c r="J23" s="187" t="n">
        <v>2992</v>
      </c>
      <c r="K23" t="inlineStr">
        <is>
          <t>Awaiting Payment</t>
        </is>
      </c>
      <c r="L23" s="192" t="n"/>
      <c r="N23" s="193">
        <f>IF(L23="",$B$4,L23)</f>
        <v>46328</v>
      </c>
    </row>
    <row r="24">
      <c r="A24" s="193" t="n">
        <v>46324</v>
      </c>
      <c r="B24" t="inlineStr">
        <is>
          <t>Bill</t>
        </is>
      </c>
      <c r="C24" t="inlineStr">
        <is>
          <t>CS167608</t>
        </is>
      </c>
      <c r="E24" t="inlineStr">
        <is>
          <t>Hire Intelligence - SUN investor day 29.10.26 equipment hire</t>
        </is>
      </c>
      <c r="G24" s="187" t="n">
        <v>2350</v>
      </c>
      <c r="H24" s="187" t="n">
        <v>235</v>
      </c>
      <c r="I24" s="187" t="n">
        <v>2585</v>
      </c>
      <c r="J24" s="187" t="n">
        <v>2585</v>
      </c>
      <c r="K24" t="inlineStr">
        <is>
          <t>Awaiting Payment</t>
        </is>
      </c>
      <c r="L24" s="192" t="n"/>
      <c r="N24" s="193">
        <f>IF(L24="",$B$4,L24)</f>
        <v>46328</v>
      </c>
    </row>
    <row r="25">
      <c r="A25" s="193" t="n">
        <v>46316</v>
      </c>
      <c r="B25" t="inlineStr">
        <is>
          <t>Bill</t>
        </is>
      </c>
      <c r="C25" t="inlineStr">
        <is>
          <t>INV-1611</t>
        </is>
      </c>
      <c r="E25" t="inlineStr">
        <is>
          <t>2020 Events - Microsoft SME&amp;C townhall 14.10.26 hire</t>
        </is>
      </c>
      <c r="G25" s="187" t="n">
        <v>2133.06</v>
      </c>
      <c r="H25" s="187" t="n">
        <v>213.31</v>
      </c>
      <c r="I25" s="187" t="n">
        <v>2346.37</v>
      </c>
      <c r="J25" s="187" t="n">
        <v>2346.37</v>
      </c>
      <c r="K25" t="inlineStr">
        <is>
          <t>Awaiting Payment</t>
        </is>
      </c>
      <c r="L25" s="192" t="n">
        <v>46330</v>
      </c>
      <c r="N25" s="193">
        <f>IF(L25="",$B$4,L25)</f>
        <v>46330</v>
      </c>
    </row>
    <row r="26">
      <c r="A26" s="193" t="n">
        <v>46300</v>
      </c>
      <c r="B26" t="inlineStr">
        <is>
          <t>Bill</t>
        </is>
      </c>
      <c r="C26" t="inlineStr">
        <is>
          <t>42 of 60</t>
        </is>
      </c>
      <c r="E26" t="inlineStr">
        <is>
          <t>Employsure - October</t>
        </is>
      </c>
      <c r="G26" s="187" t="n">
        <v>800</v>
      </c>
      <c r="H26" s="187" t="n">
        <v>80</v>
      </c>
      <c r="I26" s="187" t="n">
        <v>880</v>
      </c>
      <c r="J26" s="187" t="n">
        <v>880</v>
      </c>
      <c r="K26" t="inlineStr">
        <is>
          <t>Awaiting Payment</t>
        </is>
      </c>
      <c r="L26" s="192" t="n"/>
      <c r="N26" s="193">
        <f>IF(L26="",$B$4,L26)</f>
        <v>46328</v>
      </c>
    </row>
    <row r="27">
      <c r="A27" s="193" t="n">
        <v>46310</v>
      </c>
      <c r="B27" t="inlineStr">
        <is>
          <t>Bill</t>
        </is>
      </c>
      <c r="C27" t="inlineStr">
        <is>
          <t>INV6062</t>
        </is>
      </c>
      <c r="E27" t="inlineStr">
        <is>
          <t>Type Transcripts - TLC AGM transcription 14.10.2026</t>
        </is>
      </c>
      <c r="G27" s="187" t="n">
        <v>234</v>
      </c>
      <c r="H27" s="187" t="n">
        <v>23.4</v>
      </c>
      <c r="I27" s="187" t="n">
        <v>257.4</v>
      </c>
      <c r="J27" s="187" t="n">
        <v>257.4</v>
      </c>
      <c r="K27" t="inlineStr">
        <is>
          <t>Awaiting Payment</t>
        </is>
      </c>
      <c r="L27" s="192" t="n"/>
      <c r="N27" s="193">
        <f>IF(L27="",$B$4,L27)</f>
        <v>46328</v>
      </c>
    </row>
    <row r="28">
      <c r="A28" s="193" t="n">
        <v>46290</v>
      </c>
      <c r="B28" t="inlineStr">
        <is>
          <t>Bill</t>
        </is>
      </c>
      <c r="C28" t="inlineStr">
        <is>
          <t>INV15775235</t>
        </is>
      </c>
      <c r="E28" t="inlineStr">
        <is>
          <t>Ricoh Australia - printing Sep</t>
        </is>
      </c>
      <c r="G28" s="187" t="n">
        <v>191.09</v>
      </c>
      <c r="H28" s="187" t="n">
        <v>19.11</v>
      </c>
      <c r="I28" s="187" t="n">
        <v>210.2</v>
      </c>
      <c r="J28" s="187" t="n">
        <v>210.2</v>
      </c>
      <c r="K28" t="inlineStr">
        <is>
          <t>Awaiting Payment</t>
        </is>
      </c>
      <c r="L28" s="192" t="n"/>
      <c r="N28" s="193">
        <f>IF(L28="",$B$4,L28)</f>
        <v>46328</v>
      </c>
    </row>
    <row r="29">
      <c r="A29" s="193" t="n">
        <v>46321</v>
      </c>
      <c r="B29" t="inlineStr">
        <is>
          <t>Bill</t>
        </is>
      </c>
      <c r="C29" t="inlineStr">
        <is>
          <t>INV-1618</t>
        </is>
      </c>
      <c r="E29" t="inlineStr">
        <is>
          <t>2020 Events - Cochlear AGM 26.10.26 hire</t>
        </is>
      </c>
      <c r="G29" s="187" t="n">
        <v>5150</v>
      </c>
      <c r="H29" s="187" t="n">
        <v>515</v>
      </c>
      <c r="I29" s="187" t="n">
        <v>5665</v>
      </c>
      <c r="J29" s="187" t="n">
        <v>5665</v>
      </c>
      <c r="K29" t="inlineStr">
        <is>
          <t>Awaiting Payment</t>
        </is>
      </c>
      <c r="L29" s="192" t="n">
        <v>46335</v>
      </c>
      <c r="N29" s="193">
        <f>IF(L29="",$B$4,L29)</f>
        <v>46335</v>
      </c>
    </row>
    <row r="30">
      <c r="A30" s="193" t="n">
        <v>46321</v>
      </c>
      <c r="B30" t="inlineStr">
        <is>
          <t>Bill</t>
        </is>
      </c>
      <c r="C30" t="inlineStr">
        <is>
          <t>INV-2016</t>
        </is>
      </c>
      <c r="E30" t="inlineStr">
        <is>
          <t>WordBirds - ASX AGM 22.10.26 services</t>
        </is>
      </c>
      <c r="G30" s="187" t="n">
        <v>4603.18</v>
      </c>
      <c r="H30" s="187" t="n">
        <v>460.32</v>
      </c>
      <c r="I30" s="187" t="n">
        <v>5063.5</v>
      </c>
      <c r="J30" s="187" t="n">
        <v>5063.5</v>
      </c>
      <c r="K30" t="inlineStr">
        <is>
          <t>Awaiting Payment</t>
        </is>
      </c>
      <c r="L30" s="192" t="n">
        <v>46335</v>
      </c>
      <c r="N30" s="193">
        <f>IF(L30="",$B$4,L30)</f>
        <v>46335</v>
      </c>
    </row>
    <row r="31">
      <c r="A31" s="193" t="n">
        <v>46322</v>
      </c>
      <c r="B31" t="inlineStr">
        <is>
          <t>Bill</t>
        </is>
      </c>
      <c r="C31" t="inlineStr">
        <is>
          <t>INV-2019</t>
        </is>
      </c>
      <c r="E31" t="inlineStr">
        <is>
          <t>WordBirds - Cochlear AGM 26.10.26 services</t>
        </is>
      </c>
      <c r="G31" s="187" t="n">
        <v>2970</v>
      </c>
      <c r="H31" s="187" t="n">
        <v>297</v>
      </c>
      <c r="I31" s="187" t="n">
        <v>3267</v>
      </c>
      <c r="J31" s="187" t="n">
        <v>3267</v>
      </c>
      <c r="K31" t="inlineStr">
        <is>
          <t>Awaiting Payment</t>
        </is>
      </c>
      <c r="L31" s="192" t="n">
        <v>46336</v>
      </c>
      <c r="N31" s="193">
        <f>IF(L31="",$B$4,L31)</f>
        <v>46336</v>
      </c>
    </row>
    <row r="32">
      <c r="A32" s="193" t="n">
        <v>46321</v>
      </c>
      <c r="B32" t="inlineStr">
        <is>
          <t>Bill</t>
        </is>
      </c>
      <c r="C32" t="inlineStr">
        <is>
          <t>INV26-12398</t>
        </is>
      </c>
      <c r="E32" t="inlineStr">
        <is>
          <t>Dubology Studios - Microsoft SME&amp;C and CBA LES Oct services</t>
        </is>
      </c>
      <c r="G32" s="187" t="n">
        <v>1925</v>
      </c>
      <c r="H32" s="187" t="n">
        <v>192.5</v>
      </c>
      <c r="I32" s="187" t="n">
        <v>2117.5</v>
      </c>
      <c r="J32" s="187" t="n">
        <v>2117.5</v>
      </c>
      <c r="K32" t="inlineStr">
        <is>
          <t>Awaiting Payment</t>
        </is>
      </c>
      <c r="L32" s="192" t="n">
        <v>46335</v>
      </c>
      <c r="N32" s="193">
        <f>IF(L32="",$B$4,L32)</f>
        <v>46335</v>
      </c>
    </row>
    <row r="33">
      <c r="A33" s="193" t="n">
        <v>46321</v>
      </c>
      <c r="B33" t="inlineStr">
        <is>
          <t>Bill</t>
        </is>
      </c>
      <c r="C33" t="inlineStr">
        <is>
          <t>INV409016</t>
        </is>
      </c>
      <c r="E33" t="inlineStr">
        <is>
          <t>Deaf Services - CBA AGM 2026 services</t>
        </is>
      </c>
      <c r="G33" s="187" t="n">
        <v>282.5</v>
      </c>
      <c r="H33" s="187" t="n">
        <v>28.25</v>
      </c>
      <c r="I33" s="187" t="n">
        <v>310.75</v>
      </c>
      <c r="J33" s="187" t="n">
        <v>310.75</v>
      </c>
      <c r="K33" t="inlineStr">
        <is>
          <t>Awaiting Payment</t>
        </is>
      </c>
      <c r="L33" s="192" t="n">
        <v>46335</v>
      </c>
      <c r="N33" s="193">
        <f>IF(L33="",$B$4,L33)</f>
        <v>46335</v>
      </c>
    </row>
    <row r="34">
      <c r="A34" s="193" t="n">
        <v>46305</v>
      </c>
      <c r="B34" t="inlineStr">
        <is>
          <t>Bill</t>
        </is>
      </c>
      <c r="C34" t="inlineStr">
        <is>
          <t>INV000600307641</t>
        </is>
      </c>
      <c r="E34" t="inlineStr">
        <is>
          <t>Optus - staff mobiles Oct</t>
        </is>
      </c>
      <c r="G34" s="187" t="n">
        <v>764.53</v>
      </c>
      <c r="H34" s="187" t="n">
        <v>76.41</v>
      </c>
      <c r="I34" s="187" t="n">
        <v>840.98</v>
      </c>
      <c r="J34" s="187" t="n">
        <v>840.98</v>
      </c>
      <c r="K34" t="inlineStr">
        <is>
          <t>Awaiting Payment</t>
        </is>
      </c>
      <c r="L34" s="192" t="n">
        <v>46335</v>
      </c>
      <c r="N34" s="193">
        <f>IF(L34="",$B$4,L34)</f>
        <v>46335</v>
      </c>
    </row>
    <row r="35">
      <c r="A35" s="193" t="n">
        <v>46304</v>
      </c>
      <c r="B35" t="inlineStr">
        <is>
          <t>Bill</t>
        </is>
      </c>
      <c r="C35" t="inlineStr">
        <is>
          <t>INV21742621</t>
        </is>
      </c>
      <c r="E35" t="inlineStr">
        <is>
          <t>Posh Services (Ambius) - indoor plants Oct</t>
        </is>
      </c>
      <c r="G35" s="187" t="n">
        <v>222.73</v>
      </c>
      <c r="H35" s="187" t="n">
        <v>22.27</v>
      </c>
      <c r="I35" s="187" t="n">
        <v>245</v>
      </c>
      <c r="J35" s="187" t="n">
        <v>245</v>
      </c>
      <c r="K35" t="inlineStr">
        <is>
          <t>Awaiting Payment</t>
        </is>
      </c>
      <c r="L35" s="192" t="n">
        <v>46335</v>
      </c>
      <c r="N35" s="193">
        <f>IF(L35="",$B$4,L35)</f>
        <v>46335</v>
      </c>
    </row>
    <row r="36">
      <c r="A36" s="193" t="n">
        <v>46320</v>
      </c>
      <c r="B36" t="inlineStr">
        <is>
          <t>Bill</t>
        </is>
      </c>
      <c r="C36" t="inlineStr">
        <is>
          <t>TTI20233644300</t>
        </is>
      </c>
      <c r="E36" t="inlineStr">
        <is>
          <t>Telstra - Nighthawk Oct</t>
        </is>
      </c>
      <c r="G36" s="187" t="n">
        <v>123.64</v>
      </c>
      <c r="H36" s="187" t="n">
        <v>12.36</v>
      </c>
      <c r="I36" s="187" t="n">
        <v>136</v>
      </c>
      <c r="J36" s="187" t="n">
        <v>136</v>
      </c>
      <c r="K36" t="inlineStr">
        <is>
          <t>Awaiting Payment</t>
        </is>
      </c>
      <c r="L36" s="192" t="n">
        <v>46332</v>
      </c>
      <c r="N36" s="193">
        <f>IF(L36="",$B$4,L36)</f>
        <v>46332</v>
      </c>
    </row>
    <row r="37">
      <c r="A37" s="194" t="n">
        <v>46302</v>
      </c>
      <c r="B37" t="inlineStr">
        <is>
          <t>Bill</t>
        </is>
      </c>
      <c r="C37" t="inlineStr">
        <is>
          <t>INV632570641</t>
        </is>
      </c>
      <c r="E37" t="inlineStr">
        <is>
          <t>Officeworks - keyboard &amp; mouse for CBA AGM</t>
        </is>
      </c>
      <c r="G37" s="187" t="n">
        <v>98.18000000000001</v>
      </c>
      <c r="H37" s="187" t="n">
        <v>9.82</v>
      </c>
      <c r="I37" s="187" t="n">
        <v>108</v>
      </c>
      <c r="J37" s="187" t="n">
        <v>108</v>
      </c>
      <c r="K37" t="inlineStr">
        <is>
          <t>Awaiting Payment</t>
        </is>
      </c>
      <c r="L37" s="192" t="n">
        <v>46332</v>
      </c>
      <c r="N37" s="193">
        <f>IF(L37="",$B$4,L37)</f>
        <v>46332</v>
      </c>
    </row>
    <row r="38">
      <c r="A38" s="193" t="n">
        <v>46310</v>
      </c>
      <c r="B38" t="inlineStr">
        <is>
          <t>Bill</t>
        </is>
      </c>
      <c r="C38" t="inlineStr">
        <is>
          <t>INV00010410</t>
        </is>
      </c>
      <c r="E38" t="inlineStr">
        <is>
          <t>Riedel Communications - Microsoft SME&amp;C townhall 14.10.26 hire</t>
        </is>
      </c>
      <c r="G38" s="187" t="n">
        <v>804.6</v>
      </c>
      <c r="H38" s="187" t="n">
        <v>80.45999999999999</v>
      </c>
      <c r="I38" s="187" t="n">
        <v>885.0599999999999</v>
      </c>
      <c r="J38" s="187" t="n">
        <v>885.0599999999999</v>
      </c>
      <c r="K38" t="inlineStr">
        <is>
          <t>Awaiting Payment</t>
        </is>
      </c>
      <c r="L38" s="192" t="n">
        <v>46342</v>
      </c>
      <c r="N38" s="193">
        <f>IF(L38="",$B$4,L38)</f>
        <v>46342</v>
      </c>
    </row>
    <row r="39">
      <c r="A39" s="193" t="n">
        <v>46314</v>
      </c>
      <c r="B39" t="inlineStr">
        <is>
          <t>Bill</t>
        </is>
      </c>
      <c r="C39" t="inlineStr">
        <is>
          <t>INV22273</t>
        </is>
      </c>
      <c r="E39" t="inlineStr">
        <is>
          <t>Access Innovation Media - CBA AGM 2026 services</t>
        </is>
      </c>
      <c r="G39" s="187" t="n">
        <v>840</v>
      </c>
      <c r="H39" s="187" t="n">
        <v>84</v>
      </c>
      <c r="I39" s="187" t="n">
        <v>924</v>
      </c>
      <c r="J39" s="187" t="n">
        <v>924</v>
      </c>
      <c r="K39" t="inlineStr">
        <is>
          <t>Awaiting Payment</t>
        </is>
      </c>
      <c r="L39" s="192" t="n">
        <v>46344</v>
      </c>
      <c r="N39" s="193">
        <f>IF(L39="",$B$4,L39)</f>
        <v>46344</v>
      </c>
    </row>
    <row r="40">
      <c r="A40" s="193" t="n">
        <v>46314</v>
      </c>
      <c r="B40" t="inlineStr">
        <is>
          <t>Bill</t>
        </is>
      </c>
      <c r="C40" t="inlineStr">
        <is>
          <t>INV22274</t>
        </is>
      </c>
      <c r="E40" t="inlineStr">
        <is>
          <t>Access Innovation Media - CBA AGM 2026 services</t>
        </is>
      </c>
      <c r="G40" s="187" t="n">
        <v>620</v>
      </c>
      <c r="H40" s="187" t="n">
        <v>62</v>
      </c>
      <c r="I40" s="187" t="n">
        <v>682</v>
      </c>
      <c r="J40" s="187" t="n">
        <v>682</v>
      </c>
      <c r="K40" t="inlineStr">
        <is>
          <t>Awaiting Payment</t>
        </is>
      </c>
      <c r="L40" s="192" t="n">
        <v>46344</v>
      </c>
      <c r="N40" s="193">
        <f>IF(L40="",$B$4,L40)</f>
        <v>46344</v>
      </c>
    </row>
    <row r="41">
      <c r="A41" s="193" t="n">
        <v>46314</v>
      </c>
      <c r="B41" t="inlineStr">
        <is>
          <t>Bill</t>
        </is>
      </c>
      <c r="C41" t="inlineStr">
        <is>
          <t>INV22272</t>
        </is>
      </c>
      <c r="E41" t="inlineStr">
        <is>
          <t>Access Innovation Media - CBA AGM 2026 services</t>
        </is>
      </c>
      <c r="G41" s="187" t="n">
        <v>240</v>
      </c>
      <c r="H41" s="187" t="n">
        <v>24</v>
      </c>
      <c r="I41" s="187" t="n">
        <v>264</v>
      </c>
      <c r="J41" s="187" t="n">
        <v>264</v>
      </c>
      <c r="K41" t="inlineStr">
        <is>
          <t>Awaiting Payment</t>
        </is>
      </c>
      <c r="L41" s="192" t="n">
        <v>46344</v>
      </c>
      <c r="N41" s="193">
        <f>IF(L41="",$B$4,L41)</f>
        <v>46344</v>
      </c>
    </row>
    <row r="42">
      <c r="A42" s="193" t="n">
        <v>46314</v>
      </c>
      <c r="B42" t="inlineStr">
        <is>
          <t>Bill</t>
        </is>
      </c>
      <c r="C42" t="inlineStr">
        <is>
          <t>INV22275</t>
        </is>
      </c>
      <c r="E42" t="inlineStr">
        <is>
          <t>Access Innovation Media - CBA AGM 2026 services</t>
        </is>
      </c>
      <c r="G42" s="187" t="n">
        <v>150</v>
      </c>
      <c r="H42" s="187" t="n">
        <v>15</v>
      </c>
      <c r="I42" s="187" t="n">
        <v>165</v>
      </c>
      <c r="J42" s="187" t="n">
        <v>165</v>
      </c>
      <c r="K42" t="inlineStr">
        <is>
          <t>Awaiting Payment</t>
        </is>
      </c>
      <c r="L42" s="192" t="n">
        <v>46344</v>
      </c>
      <c r="N42" s="193">
        <f>IF(L42="",$B$4,L42)</f>
        <v>46344</v>
      </c>
    </row>
    <row r="43">
      <c r="A43" s="193" t="n">
        <v>46321</v>
      </c>
      <c r="B43" t="inlineStr">
        <is>
          <t>Bill</t>
        </is>
      </c>
      <c r="C43" t="inlineStr">
        <is>
          <t>INV00010482</t>
        </is>
      </c>
      <c r="E43" t="inlineStr">
        <is>
          <t>Riedel Communications - MUFG Suncorp investor day 29.10.2026 hire</t>
        </is>
      </c>
      <c r="G43" s="187" t="n">
        <v>1663.2</v>
      </c>
      <c r="H43" s="187" t="n">
        <v>166.32</v>
      </c>
      <c r="I43" s="187" t="n">
        <v>1829.52</v>
      </c>
      <c r="J43" s="187" t="n">
        <v>1829.52</v>
      </c>
      <c r="K43" t="inlineStr">
        <is>
          <t>Awaiting Payment</t>
        </is>
      </c>
      <c r="L43" s="192" t="n">
        <v>46351</v>
      </c>
      <c r="N43" s="193">
        <f>IF(L43="",$B$4,L43)</f>
        <v>46351</v>
      </c>
    </row>
    <row r="44">
      <c r="A44" s="193" t="n">
        <v>46322</v>
      </c>
      <c r="B44" t="inlineStr">
        <is>
          <t>Bill</t>
        </is>
      </c>
      <c r="C44" t="inlineStr">
        <is>
          <t>INV00010469</t>
        </is>
      </c>
      <c r="E44" t="inlineStr">
        <is>
          <t>Riedel Communications - ASX AGM 22.10.26 hire</t>
        </is>
      </c>
      <c r="G44" s="187" t="n">
        <v>1667.52</v>
      </c>
      <c r="H44" s="187" t="n">
        <v>166.75</v>
      </c>
      <c r="I44" s="187" t="n">
        <v>1834.27</v>
      </c>
      <c r="J44" s="187" t="n">
        <v>1834.27</v>
      </c>
      <c r="K44" t="inlineStr">
        <is>
          <t>Awaiting Payment</t>
        </is>
      </c>
      <c r="L44" s="192" t="n">
        <v>46352</v>
      </c>
      <c r="N44" s="193">
        <f>IF(L44="",$B$4,L44)</f>
        <v>46352</v>
      </c>
    </row>
    <row r="45">
      <c r="A45" s="193" t="n">
        <v>46323</v>
      </c>
      <c r="B45" t="inlineStr">
        <is>
          <t>Bill</t>
        </is>
      </c>
      <c r="C45" t="inlineStr">
        <is>
          <t>INV02-82515</t>
        </is>
      </c>
      <c r="E45" t="inlineStr">
        <is>
          <t>Chorus Call Australia - Cochlear AGM 26.10.26 services</t>
        </is>
      </c>
      <c r="G45" s="187" t="n">
        <v>1878.04</v>
      </c>
      <c r="H45" s="187" t="n">
        <v>187.8</v>
      </c>
      <c r="I45" s="187" t="n">
        <v>2065.84</v>
      </c>
      <c r="J45" s="187" t="n">
        <v>2065.84</v>
      </c>
      <c r="K45" t="inlineStr">
        <is>
          <t>Awaiting Payment</t>
        </is>
      </c>
      <c r="L45" s="192" t="n">
        <v>46353</v>
      </c>
      <c r="N45" s="193">
        <f>IF(L45="",$B$4,L45)</f>
        <v>46353</v>
      </c>
    </row>
    <row r="46">
      <c r="A46" s="193" t="n">
        <v>46321</v>
      </c>
      <c r="B46" t="inlineStr">
        <is>
          <t>Bill</t>
        </is>
      </c>
      <c r="C46" t="inlineStr">
        <is>
          <t>INV15788514</t>
        </is>
      </c>
      <c r="E46" t="inlineStr">
        <is>
          <t>Ricoh Australia - printing Oct</t>
        </is>
      </c>
      <c r="G46" s="187" t="n">
        <v>234.06</v>
      </c>
      <c r="H46" s="187" t="n">
        <v>23.41</v>
      </c>
      <c r="I46" s="187" t="n">
        <v>257.47</v>
      </c>
      <c r="J46" s="187" t="n">
        <v>257.47</v>
      </c>
      <c r="K46" t="inlineStr">
        <is>
          <t>Awaiting Payment</t>
        </is>
      </c>
      <c r="L46" s="192" t="n">
        <v>46356</v>
      </c>
      <c r="N46" s="193">
        <f>IF(L46="",$B$4,L46)</f>
        <v>46356</v>
      </c>
    </row>
    <row r="47">
      <c r="A47" s="193" t="n">
        <v>46318</v>
      </c>
      <c r="B47" t="inlineStr">
        <is>
          <t>Bill</t>
        </is>
      </c>
      <c r="C47" t="inlineStr">
        <is>
          <t>INV02434590</t>
        </is>
      </c>
      <c r="E47" t="inlineStr">
        <is>
          <t>Avetta - worker management annual licence 2026-27</t>
        </is>
      </c>
      <c r="G47" s="187" t="n">
        <v>892</v>
      </c>
      <c r="H47" s="187" t="n">
        <v>0</v>
      </c>
      <c r="I47" s="187" t="n">
        <v>892</v>
      </c>
      <c r="J47" s="187" t="n">
        <v>892</v>
      </c>
      <c r="K47" t="inlineStr">
        <is>
          <t>Awaiting Payment</t>
        </is>
      </c>
      <c r="L47" s="192" t="n"/>
      <c r="M47" t="inlineStr">
        <is>
          <t>x</t>
        </is>
      </c>
      <c r="N47" s="193">
        <f>IF(L47="",$B$4,L47)</f>
        <v>46328</v>
      </c>
    </row>
    <row r="48">
      <c r="A48" s="193" t="n">
        <v>46322</v>
      </c>
      <c r="B48" t="inlineStr">
        <is>
          <t>Bill</t>
        </is>
      </c>
      <c r="C48" t="inlineStr">
        <is>
          <t>WLVRMZBY0012</t>
        </is>
      </c>
      <c r="E48" t="inlineStr">
        <is>
          <t>Australian Tenders - WA core subscription Oct</t>
        </is>
      </c>
      <c r="G48" s="187" t="n">
        <v>90</v>
      </c>
      <c r="H48" s="187" t="n">
        <v>9</v>
      </c>
      <c r="I48" s="187" t="n">
        <v>99</v>
      </c>
      <c r="J48" s="187" t="n">
        <v>99</v>
      </c>
      <c r="K48" t="inlineStr">
        <is>
          <t>Awaiting Payment</t>
        </is>
      </c>
      <c r="L48" s="192" t="n"/>
      <c r="M48" t="inlineStr">
        <is>
          <t>x</t>
        </is>
      </c>
      <c r="N48" s="193">
        <f>IF(L48="",$B$4,L48)</f>
        <v>46328</v>
      </c>
    </row>
    <row r="49">
      <c r="A49" s="193" t="n">
        <v>46289</v>
      </c>
      <c r="B49" t="inlineStr">
        <is>
          <t>Bill</t>
        </is>
      </c>
      <c r="C49" t="inlineStr">
        <is>
          <t>INV260412412804</t>
        </is>
      </c>
      <c r="E49" t="inlineStr">
        <is>
          <t>Energy Australia - electricity 23 Aug to 21 Sep</t>
        </is>
      </c>
      <c r="G49" s="187" t="n">
        <v>632.95</v>
      </c>
      <c r="H49" s="187" t="n">
        <v>63.3</v>
      </c>
      <c r="I49" s="187" t="n">
        <v>696.25</v>
      </c>
      <c r="J49" s="187" t="n">
        <v>696.25</v>
      </c>
      <c r="K49" t="inlineStr">
        <is>
          <t>Awaiting Payment</t>
        </is>
      </c>
      <c r="L49" s="192" t="n"/>
      <c r="M49" t="inlineStr">
        <is>
          <t>x</t>
        </is>
      </c>
      <c r="N49" s="193">
        <f>IF(L49="",$B$4,L49)</f>
        <v>46328</v>
      </c>
    </row>
    <row r="50">
      <c r="A50" s="193" t="n">
        <v>46315</v>
      </c>
      <c r="B50" t="inlineStr">
        <is>
          <t>Bill</t>
        </is>
      </c>
      <c r="C50" t="inlineStr">
        <is>
          <t>IT73569434492806</t>
        </is>
      </c>
      <c r="E50" t="inlineStr">
        <is>
          <t>Expedia - accommodation J Salanoa, Ventia townhall</t>
        </is>
      </c>
      <c r="G50" s="187" t="n">
        <v>212.57</v>
      </c>
      <c r="H50" s="187" t="n">
        <v>21.26</v>
      </c>
      <c r="I50" s="187" t="n">
        <v>233.83</v>
      </c>
      <c r="J50" s="187" t="n">
        <v>233.83</v>
      </c>
      <c r="K50" t="inlineStr">
        <is>
          <t>Awaiting Payment</t>
        </is>
      </c>
      <c r="L50" s="192" t="n"/>
      <c r="M50" t="inlineStr">
        <is>
          <t>x</t>
        </is>
      </c>
      <c r="N50" s="193">
        <f>IF(L50="",$B$4,L50)</f>
        <v>46328</v>
      </c>
    </row>
    <row r="51">
      <c r="A51" s="193" t="n">
        <v>46315</v>
      </c>
      <c r="B51" t="inlineStr">
        <is>
          <t>Bill</t>
        </is>
      </c>
      <c r="C51" t="inlineStr">
        <is>
          <t>JGTOZQ</t>
        </is>
      </c>
      <c r="E51" t="inlineStr">
        <is>
          <t>Virgin Australia - return flight J Salanoa, Ventia townhall</t>
        </is>
      </c>
      <c r="G51" s="187" t="n">
        <v>650.91</v>
      </c>
      <c r="H51" s="187" t="n">
        <v>65.09</v>
      </c>
      <c r="I51" s="187" t="n">
        <v>716</v>
      </c>
      <c r="J51" s="187" t="n">
        <v>716</v>
      </c>
      <c r="K51" t="inlineStr">
        <is>
          <t>Awaiting Payment</t>
        </is>
      </c>
      <c r="L51" s="192" t="n"/>
      <c r="M51" t="inlineStr">
        <is>
          <t>x</t>
        </is>
      </c>
      <c r="N51" s="193">
        <f>IF(L51="",$B$4,L51)</f>
        <v>46328</v>
      </c>
    </row>
    <row r="52">
      <c r="A52" s="193" t="n">
        <v>46323</v>
      </c>
      <c r="B52" t="inlineStr">
        <is>
          <t>Bill</t>
        </is>
      </c>
      <c r="C52" t="inlineStr">
        <is>
          <t>INV1115.7</t>
        </is>
      </c>
      <c r="E52" t="inlineStr">
        <is>
          <t>Google - YouTube Premium Oct</t>
        </is>
      </c>
      <c r="G52" s="187" t="n">
        <v>15.45</v>
      </c>
      <c r="H52" s="187" t="n">
        <v>1.54</v>
      </c>
      <c r="I52" s="187" t="n">
        <v>16.99</v>
      </c>
      <c r="J52" s="187" t="n">
        <v>16.99</v>
      </c>
      <c r="K52" t="inlineStr">
        <is>
          <t>Awaiting Payment</t>
        </is>
      </c>
      <c r="L52" s="192" t="n"/>
      <c r="M52" t="inlineStr">
        <is>
          <t>x</t>
        </is>
      </c>
      <c r="N52" s="193">
        <f>IF(L52="",$B$4,L52)</f>
        <v>46328</v>
      </c>
    </row>
    <row r="53">
      <c r="A53" s="193" t="n">
        <v>46313</v>
      </c>
      <c r="B53" t="inlineStr">
        <is>
          <t>Bill</t>
        </is>
      </c>
      <c r="C53" t="inlineStr">
        <is>
          <t>MC27578191</t>
        </is>
      </c>
      <c r="E53" t="inlineStr">
        <is>
          <t>Mailchimp - October</t>
        </is>
      </c>
      <c r="G53" s="187" t="n">
        <v>38.54</v>
      </c>
      <c r="H53" s="187" t="n">
        <v>0</v>
      </c>
      <c r="I53" s="187" t="n">
        <v>38.54</v>
      </c>
      <c r="J53" s="187" t="n">
        <v>38.54</v>
      </c>
      <c r="K53" t="inlineStr">
        <is>
          <t>Awaiting Payment</t>
        </is>
      </c>
      <c r="L53" s="192" t="n"/>
      <c r="M53" t="inlineStr">
        <is>
          <t>x</t>
        </is>
      </c>
      <c r="N53" s="193">
        <f>IF(L53="",$B$4,L53)</f>
        <v>46328</v>
      </c>
    </row>
    <row r="54">
      <c r="A54" s="193" t="n">
        <v>46302</v>
      </c>
      <c r="B54" t="inlineStr">
        <is>
          <t>Bill</t>
        </is>
      </c>
      <c r="C54" t="inlineStr">
        <is>
          <t>INV000599871925</t>
        </is>
      </c>
      <c r="E54" t="inlineStr">
        <is>
          <t>Optus - office internet &amp; landline Oct</t>
        </is>
      </c>
      <c r="G54" s="187" t="n">
        <v>581.04</v>
      </c>
      <c r="H54" s="187" t="n">
        <v>58.11</v>
      </c>
      <c r="I54" s="187" t="n">
        <v>639.15</v>
      </c>
      <c r="J54" s="187" t="n">
        <v>639.15</v>
      </c>
      <c r="K54" t="inlineStr">
        <is>
          <t>Awaiting Payment</t>
        </is>
      </c>
      <c r="L54" s="192" t="n"/>
      <c r="M54" t="inlineStr">
        <is>
          <t>x</t>
        </is>
      </c>
      <c r="N54" s="193">
        <f>IF(L54="",$B$4,L54)</f>
        <v>46328</v>
      </c>
    </row>
    <row r="55">
      <c r="A55" s="193" t="n">
        <v>46316</v>
      </c>
      <c r="B55" t="inlineStr">
        <is>
          <t>Bill</t>
        </is>
      </c>
      <c r="C55" t="inlineStr">
        <is>
          <t>INV702171405</t>
        </is>
      </c>
      <c r="E55" t="inlineStr">
        <is>
          <t>Seek - accounts assistant job ad</t>
        </is>
      </c>
      <c r="G55" s="187" t="n">
        <v>505</v>
      </c>
      <c r="H55" s="187" t="n">
        <v>50.5</v>
      </c>
      <c r="I55" s="187" t="n">
        <v>555.5</v>
      </c>
      <c r="J55" s="187" t="n">
        <v>555.5</v>
      </c>
      <c r="K55" t="inlineStr">
        <is>
          <t>Awaiting Payment</t>
        </is>
      </c>
      <c r="L55" s="192" t="n"/>
      <c r="M55" t="inlineStr">
        <is>
          <t>x</t>
        </is>
      </c>
      <c r="N55" s="193">
        <f>IF(L55="",$B$4,L55)</f>
        <v>46328</v>
      </c>
    </row>
    <row r="56">
      <c r="A56" s="193" t="n">
        <v>46323</v>
      </c>
      <c r="B56" t="inlineStr">
        <is>
          <t>Bill</t>
        </is>
      </c>
      <c r="C56" t="inlineStr">
        <is>
          <t>INV375651107</t>
        </is>
      </c>
      <c r="E56" t="inlineStr">
        <is>
          <t>Zoom - Oct subscription</t>
        </is>
      </c>
      <c r="G56" s="187" t="n">
        <v>323.97</v>
      </c>
      <c r="H56" s="187" t="n">
        <v>0</v>
      </c>
      <c r="I56" s="187" t="n">
        <v>323.97</v>
      </c>
      <c r="J56" s="187" t="n">
        <v>323.97</v>
      </c>
      <c r="K56" t="inlineStr">
        <is>
          <t>Awaiting Payment</t>
        </is>
      </c>
      <c r="L56" s="192" t="n"/>
      <c r="M56" t="inlineStr">
        <is>
          <t>x</t>
        </is>
      </c>
      <c r="N56" s="193">
        <f>IF(L56="",$B$4,L56)</f>
        <v>46328</v>
      </c>
    </row>
    <row r="57">
      <c r="A57" s="193" t="n"/>
      <c r="G57" s="187" t="n"/>
      <c r="H57" s="187" t="n"/>
      <c r="I57" s="187" t="n"/>
      <c r="J57" s="187" t="n"/>
      <c r="L57" s="192" t="n"/>
      <c r="N57" s="193">
        <f>IF(L57="",$B$4,L57)</f>
        <v>46328</v>
      </c>
    </row>
    <row r="58">
      <c r="A58" s="194" t="inlineStr">
        <is>
          <t>Rows 11 to 56 are the 46 open bills in Xero at 29 Oct ($158,464.01) typed in the report layout. Next month, clear them and paste the new report over the top.</t>
        </is>
      </c>
      <c r="G58" s="187" t="n"/>
      <c r="H58" s="187" t="n"/>
      <c r="I58" s="187" t="n"/>
      <c r="J58" s="187" t="n"/>
      <c r="L58" s="192" t="n"/>
      <c r="N58" s="193">
        <f>IF(L58="",$B$4,L58)</f>
        <v>46328</v>
      </c>
    </row>
    <row r="59">
      <c r="A59" s="193" t="n"/>
      <c r="G59" s="187" t="n"/>
      <c r="H59" s="187" t="n"/>
      <c r="I59" s="187" t="n"/>
      <c r="J59" s="187" t="n"/>
      <c r="L59" s="192" t="n"/>
      <c r="N59" s="193">
        <f>IF(L59="",$B$4,L59)</f>
        <v>46328</v>
      </c>
    </row>
    <row r="60">
      <c r="A60" s="193" t="n"/>
      <c r="G60" s="187" t="n"/>
      <c r="H60" s="187" t="n"/>
      <c r="I60" s="187" t="n"/>
      <c r="J60" s="187" t="n"/>
      <c r="L60" s="192" t="n"/>
      <c r="N60" s="193">
        <f>IF(L60="",$B$4,L60)</f>
        <v>46328</v>
      </c>
    </row>
    <row r="61">
      <c r="A61" s="193" t="n"/>
      <c r="G61" s="187" t="n"/>
      <c r="H61" s="187" t="n"/>
      <c r="I61" s="187" t="n"/>
      <c r="J61" s="187" t="n"/>
      <c r="L61" s="192" t="n"/>
      <c r="N61" s="193">
        <f>IF(L61="",$B$4,L61)</f>
        <v>46328</v>
      </c>
    </row>
    <row r="62">
      <c r="A62" s="193" t="n"/>
      <c r="G62" s="187" t="n"/>
      <c r="H62" s="187" t="n"/>
      <c r="I62" s="187" t="n"/>
      <c r="J62" s="187" t="n"/>
      <c r="L62" s="192" t="n"/>
      <c r="N62" s="193">
        <f>IF(L62="",$B$4,L62)</f>
        <v>46328</v>
      </c>
    </row>
    <row r="63">
      <c r="A63" s="193" t="n"/>
      <c r="G63" s="187" t="n"/>
      <c r="H63" s="187" t="n"/>
      <c r="I63" s="187" t="n"/>
      <c r="J63" s="187" t="n"/>
      <c r="L63" s="192" t="n"/>
      <c r="N63" s="193">
        <f>IF(L63="",$B$4,L63)</f>
        <v>46328</v>
      </c>
    </row>
    <row r="64">
      <c r="A64" s="193" t="n"/>
      <c r="G64" s="187" t="n"/>
      <c r="H64" s="187" t="n"/>
      <c r="I64" s="187" t="n"/>
      <c r="J64" s="187" t="n"/>
      <c r="L64" s="192" t="n"/>
      <c r="N64" s="193">
        <f>IF(L64="",$B$4,L64)</f>
        <v>46328</v>
      </c>
    </row>
    <row r="65">
      <c r="A65" s="193" t="n"/>
      <c r="G65" s="187" t="n"/>
      <c r="H65" s="187" t="n"/>
      <c r="I65" s="187" t="n"/>
      <c r="J65" s="187" t="n"/>
      <c r="L65" s="192" t="n"/>
      <c r="N65" s="193">
        <f>IF(L65="",$B$4,L65)</f>
        <v>46328</v>
      </c>
    </row>
    <row r="66">
      <c r="A66" s="193" t="n"/>
      <c r="G66" s="187" t="n"/>
      <c r="H66" s="187" t="n"/>
      <c r="I66" s="187" t="n"/>
      <c r="J66" s="187" t="n"/>
      <c r="L66" s="192" t="n"/>
      <c r="N66" s="193">
        <f>IF(L66="",$B$4,L66)</f>
        <v>46328</v>
      </c>
    </row>
    <row r="67">
      <c r="A67" s="193" t="n"/>
      <c r="G67" s="187" t="n"/>
      <c r="H67" s="187" t="n"/>
      <c r="I67" s="187" t="n"/>
      <c r="J67" s="187" t="n"/>
      <c r="L67" s="192" t="n"/>
      <c r="N67" s="193">
        <f>IF(L67="",$B$4,L67)</f>
        <v>46328</v>
      </c>
    </row>
    <row r="68">
      <c r="A68" s="193" t="n"/>
      <c r="G68" s="187" t="n"/>
      <c r="H68" s="187" t="n"/>
      <c r="I68" s="187" t="n"/>
      <c r="J68" s="187" t="n"/>
      <c r="L68" s="192" t="n"/>
      <c r="N68" s="193">
        <f>IF(L68="",$B$4,L68)</f>
        <v>46328</v>
      </c>
    </row>
    <row r="69">
      <c r="A69" s="193" t="n"/>
      <c r="G69" s="187" t="n"/>
      <c r="H69" s="187" t="n"/>
      <c r="I69" s="187" t="n"/>
      <c r="J69" s="187" t="n"/>
      <c r="L69" s="192" t="n"/>
      <c r="N69" s="193">
        <f>IF(L69="",$B$4,L69)</f>
        <v>46328</v>
      </c>
    </row>
    <row r="70">
      <c r="A70" s="193" t="n"/>
      <c r="G70" s="187" t="n"/>
      <c r="H70" s="187" t="n"/>
      <c r="I70" s="187" t="n"/>
      <c r="J70" s="187" t="n"/>
      <c r="L70" s="192" t="n"/>
      <c r="N70" s="193">
        <f>IF(L70="",$B$4,L70)</f>
        <v>46328</v>
      </c>
    </row>
    <row r="71">
      <c r="A71" s="193" t="n"/>
      <c r="G71" s="187" t="n"/>
      <c r="H71" s="187" t="n"/>
      <c r="I71" s="187" t="n"/>
      <c r="J71" s="187" t="n"/>
      <c r="L71" s="192" t="n"/>
      <c r="N71" s="193">
        <f>IF(L71="",$B$4,L71)</f>
        <v>46328</v>
      </c>
    </row>
    <row r="72">
      <c r="A72" s="193" t="n"/>
      <c r="G72" s="187" t="n"/>
      <c r="H72" s="187" t="n"/>
      <c r="I72" s="187" t="n"/>
      <c r="J72" s="187" t="n"/>
      <c r="L72" s="192" t="n"/>
      <c r="N72" s="193">
        <f>IF(L72="",$B$4,L72)</f>
        <v>46328</v>
      </c>
    </row>
    <row r="73">
      <c r="A73" s="193" t="n"/>
      <c r="G73" s="187" t="n"/>
      <c r="H73" s="187" t="n"/>
      <c r="I73" s="187" t="n"/>
      <c r="J73" s="187" t="n"/>
      <c r="L73" s="192" t="n"/>
      <c r="N73" s="193">
        <f>IF(L73="",$B$4,L73)</f>
        <v>46328</v>
      </c>
    </row>
    <row r="74">
      <c r="A74" s="193" t="n"/>
      <c r="G74" s="187" t="n"/>
      <c r="H74" s="187" t="n"/>
      <c r="I74" s="187" t="n"/>
      <c r="J74" s="187" t="n"/>
      <c r="L74" s="192" t="n"/>
      <c r="N74" s="193">
        <f>IF(L74="",$B$4,L74)</f>
        <v>46328</v>
      </c>
    </row>
    <row r="75">
      <c r="A75" s="193" t="n"/>
      <c r="G75" s="187" t="n"/>
      <c r="H75" s="187" t="n"/>
      <c r="I75" s="187" t="n"/>
      <c r="J75" s="187" t="n"/>
      <c r="L75" s="192" t="n"/>
      <c r="N75" s="193">
        <f>IF(L75="",$B$4,L75)</f>
        <v>46328</v>
      </c>
    </row>
    <row r="76">
      <c r="A76" s="193" t="n"/>
      <c r="G76" s="187" t="n"/>
      <c r="H76" s="187" t="n"/>
      <c r="I76" s="187" t="n"/>
      <c r="J76" s="187" t="n"/>
      <c r="L76" s="192" t="n"/>
      <c r="N76" s="193">
        <f>IF(L76="",$B$4,L76)</f>
        <v>46328</v>
      </c>
    </row>
    <row r="77">
      <c r="A77" s="193" t="n"/>
      <c r="G77" s="187" t="n"/>
      <c r="H77" s="187" t="n"/>
      <c r="I77" s="187" t="n"/>
      <c r="J77" s="187" t="n"/>
      <c r="L77" s="192" t="n"/>
      <c r="N77" s="193">
        <f>IF(L77="",$B$4,L77)</f>
        <v>46328</v>
      </c>
    </row>
    <row r="78">
      <c r="A78" s="193" t="n"/>
      <c r="G78" s="187" t="n"/>
      <c r="H78" s="187" t="n"/>
      <c r="I78" s="187" t="n"/>
      <c r="J78" s="187" t="n"/>
      <c r="L78" s="192" t="n"/>
      <c r="N78" s="193">
        <f>IF(L78="",$B$4,L78)</f>
        <v>46328</v>
      </c>
    </row>
    <row r="79">
      <c r="A79" s="193" t="n"/>
      <c r="G79" s="187" t="n"/>
      <c r="H79" s="187" t="n"/>
      <c r="I79" s="187" t="n"/>
      <c r="J79" s="187" t="n"/>
      <c r="L79" s="192" t="n"/>
      <c r="N79" s="193">
        <f>IF(L79="",$B$4,L79)</f>
        <v>46328</v>
      </c>
    </row>
    <row r="80">
      <c r="A80" s="193" t="n"/>
      <c r="G80" s="187" t="n"/>
      <c r="H80" s="187" t="n"/>
      <c r="I80" s="187" t="n"/>
      <c r="J80" s="187" t="n"/>
      <c r="L80" s="192" t="n"/>
      <c r="N80" s="193">
        <f>IF(L80="",$B$4,L80)</f>
        <v>46328</v>
      </c>
    </row>
    <row r="81">
      <c r="A81" s="193" t="n"/>
      <c r="G81" s="187" t="n"/>
      <c r="H81" s="187" t="n"/>
      <c r="I81" s="187" t="n"/>
      <c r="J81" s="187" t="n"/>
      <c r="L81" s="192" t="n"/>
      <c r="N81" s="193">
        <f>IF(L81="",$B$4,L81)</f>
        <v>46328</v>
      </c>
    </row>
    <row r="82">
      <c r="A82" s="193" t="n"/>
      <c r="G82" s="187" t="n"/>
      <c r="H82" s="187" t="n"/>
      <c r="I82" s="187" t="n"/>
      <c r="J82" s="187" t="n"/>
      <c r="L82" s="192" t="n"/>
      <c r="N82" s="193">
        <f>IF(L82="",$B$4,L82)</f>
        <v>46328</v>
      </c>
    </row>
    <row r="83">
      <c r="A83" s="193" t="n"/>
      <c r="G83" s="187" t="n"/>
      <c r="H83" s="187" t="n"/>
      <c r="I83" s="187" t="n"/>
      <c r="J83" s="187" t="n"/>
      <c r="L83" s="192" t="n"/>
      <c r="N83" s="193">
        <f>IF(L83="",$B$4,L83)</f>
        <v>46328</v>
      </c>
    </row>
    <row r="84">
      <c r="A84" s="193" t="n"/>
      <c r="G84" s="187" t="n"/>
      <c r="H84" s="187" t="n"/>
      <c r="I84" s="187" t="n"/>
      <c r="J84" s="187" t="n"/>
      <c r="L84" s="192" t="n"/>
      <c r="N84" s="193">
        <f>IF(L84="",$B$4,L84)</f>
        <v>46328</v>
      </c>
    </row>
    <row r="85">
      <c r="A85" s="193" t="n"/>
      <c r="G85" s="187" t="n"/>
      <c r="H85" s="187" t="n"/>
      <c r="I85" s="187" t="n"/>
      <c r="J85" s="187" t="n"/>
      <c r="L85" s="192" t="n"/>
      <c r="N85" s="193">
        <f>IF(L85="",$B$4,L85)</f>
        <v>46328</v>
      </c>
    </row>
    <row r="86">
      <c r="A86" s="193" t="n"/>
      <c r="G86" s="187" t="n"/>
      <c r="H86" s="187" t="n"/>
      <c r="I86" s="187" t="n"/>
      <c r="J86" s="187" t="n"/>
      <c r="L86" s="192" t="n"/>
      <c r="N86" s="193">
        <f>IF(L86="",$B$4,L86)</f>
        <v>46328</v>
      </c>
    </row>
    <row r="87">
      <c r="A87" s="193" t="n"/>
      <c r="G87" s="187" t="n"/>
      <c r="H87" s="187" t="n"/>
      <c r="I87" s="187" t="n"/>
      <c r="J87" s="187" t="n"/>
      <c r="L87" s="192" t="n"/>
      <c r="N87" s="193">
        <f>IF(L87="",$B$4,L87)</f>
        <v>46328</v>
      </c>
    </row>
    <row r="88">
      <c r="A88" s="193" t="n"/>
      <c r="G88" s="187" t="n"/>
      <c r="H88" s="187" t="n"/>
      <c r="I88" s="187" t="n"/>
      <c r="J88" s="187" t="n"/>
      <c r="L88" s="192" t="n"/>
      <c r="N88" s="193">
        <f>IF(L88="",$B$4,L88)</f>
        <v>46328</v>
      </c>
    </row>
    <row r="89">
      <c r="A89" s="193" t="n"/>
      <c r="G89" s="187" t="n"/>
      <c r="H89" s="187" t="n"/>
      <c r="I89" s="187" t="n"/>
      <c r="J89" s="187" t="n"/>
      <c r="L89" s="192" t="n"/>
      <c r="N89" s="193">
        <f>IF(L89="",$B$4,L89)</f>
        <v>46328</v>
      </c>
    </row>
    <row r="90">
      <c r="A90" s="193" t="n"/>
      <c r="G90" s="187" t="n"/>
      <c r="H90" s="187" t="n"/>
      <c r="I90" s="187" t="n"/>
      <c r="J90" s="187" t="n"/>
      <c r="L90" s="192" t="n"/>
      <c r="N90" s="193">
        <f>IF(L90="",$B$4,L90)</f>
        <v>46328</v>
      </c>
    </row>
    <row r="91">
      <c r="A91" s="193" t="n"/>
      <c r="G91" s="187" t="n"/>
      <c r="H91" s="187" t="n"/>
      <c r="I91" s="187" t="n"/>
      <c r="J91" s="187" t="n"/>
      <c r="L91" s="192" t="n"/>
      <c r="N91" s="193">
        <f>IF(L91="",$B$4,L91)</f>
        <v>46328</v>
      </c>
    </row>
    <row r="92">
      <c r="A92" s="193" t="n"/>
      <c r="G92" s="187" t="n"/>
      <c r="H92" s="187" t="n"/>
      <c r="I92" s="187" t="n"/>
      <c r="J92" s="187" t="n"/>
      <c r="L92" s="192" t="n"/>
      <c r="N92" s="193">
        <f>IF(L92="",$B$4,L92)</f>
        <v>46328</v>
      </c>
    </row>
    <row r="93">
      <c r="A93" s="193" t="n"/>
      <c r="G93" s="187" t="n"/>
      <c r="H93" s="187" t="n"/>
      <c r="I93" s="187" t="n"/>
      <c r="J93" s="187" t="n"/>
      <c r="L93" s="192" t="n"/>
      <c r="N93" s="193">
        <f>IF(L93="",$B$4,L93)</f>
        <v>46328</v>
      </c>
    </row>
    <row r="94">
      <c r="A94" s="193" t="n"/>
      <c r="G94" s="187" t="n"/>
      <c r="H94" s="187" t="n"/>
      <c r="I94" s="187" t="n"/>
      <c r="J94" s="187" t="n"/>
      <c r="L94" s="192" t="n"/>
      <c r="N94" s="193">
        <f>IF(L94="",$B$4,L94)</f>
        <v>46328</v>
      </c>
    </row>
    <row r="95">
      <c r="A95" s="193" t="n"/>
      <c r="G95" s="187" t="n"/>
      <c r="H95" s="187" t="n"/>
      <c r="I95" s="187" t="n"/>
      <c r="J95" s="187" t="n"/>
      <c r="L95" s="192" t="n"/>
      <c r="N95" s="193">
        <f>IF(L95="",$B$4,L95)</f>
        <v>46328</v>
      </c>
    </row>
    <row r="96">
      <c r="A96" s="193" t="n"/>
      <c r="G96" s="187" t="n"/>
      <c r="H96" s="187" t="n"/>
      <c r="I96" s="187" t="n"/>
      <c r="J96" s="187" t="n"/>
      <c r="L96" s="192" t="n"/>
      <c r="N96" s="193">
        <f>IF(L96="",$B$4,L96)</f>
        <v>46328</v>
      </c>
    </row>
    <row r="97">
      <c r="A97" s="193" t="n"/>
      <c r="G97" s="187" t="n"/>
      <c r="H97" s="187" t="n"/>
      <c r="I97" s="187" t="n"/>
      <c r="J97" s="187" t="n"/>
      <c r="L97" s="192" t="n"/>
      <c r="N97" s="193">
        <f>IF(L97="",$B$4,L97)</f>
        <v>46328</v>
      </c>
    </row>
    <row r="98">
      <c r="A98" s="193" t="n"/>
      <c r="G98" s="187" t="n"/>
      <c r="H98" s="187" t="n"/>
      <c r="I98" s="187" t="n"/>
      <c r="J98" s="187" t="n"/>
      <c r="L98" s="192" t="n"/>
      <c r="N98" s="193">
        <f>IF(L98="",$B$4,L98)</f>
        <v>46328</v>
      </c>
    </row>
    <row r="99">
      <c r="A99" s="193" t="n"/>
      <c r="G99" s="187" t="n"/>
      <c r="H99" s="187" t="n"/>
      <c r="I99" s="187" t="n"/>
      <c r="J99" s="187" t="n"/>
      <c r="L99" s="192" t="n"/>
      <c r="N99" s="193">
        <f>IF(L99="",$B$4,L99)</f>
        <v>46328</v>
      </c>
    </row>
    <row r="100">
      <c r="A100" s="193" t="n"/>
      <c r="G100" s="187" t="n"/>
      <c r="H100" s="187" t="n"/>
      <c r="I100" s="187" t="n"/>
      <c r="J100" s="187" t="n"/>
      <c r="L100" s="192" t="n"/>
      <c r="N100" s="193">
        <f>IF(L100="",$B$4,L100)</f>
        <v>46328</v>
      </c>
    </row>
    <row r="101">
      <c r="A101" s="193" t="n"/>
      <c r="G101" s="187" t="n"/>
      <c r="H101" s="187" t="n"/>
      <c r="I101" s="187" t="n"/>
      <c r="J101" s="187" t="n"/>
      <c r="L101" s="192" t="n"/>
      <c r="N101" s="193">
        <f>IF(L101="",$B$4,L101)</f>
        <v>46328</v>
      </c>
    </row>
    <row r="102">
      <c r="A102" s="193" t="n"/>
      <c r="G102" s="187" t="n"/>
      <c r="H102" s="187" t="n"/>
      <c r="I102" s="187" t="n"/>
      <c r="J102" s="187" t="n"/>
      <c r="L102" s="192" t="n"/>
      <c r="N102" s="193">
        <f>IF(L102="",$B$4,L102)</f>
        <v>46328</v>
      </c>
    </row>
    <row r="103">
      <c r="A103" s="193" t="n"/>
      <c r="G103" s="187" t="n"/>
      <c r="H103" s="187" t="n"/>
      <c r="I103" s="187" t="n"/>
      <c r="J103" s="187" t="n"/>
      <c r="L103" s="192" t="n"/>
      <c r="N103" s="193">
        <f>IF(L103="",$B$4,L103)</f>
        <v>46328</v>
      </c>
    </row>
    <row r="104">
      <c r="A104" s="193" t="n"/>
      <c r="G104" s="187" t="n"/>
      <c r="H104" s="187" t="n"/>
      <c r="I104" s="187" t="n"/>
      <c r="J104" s="187" t="n"/>
      <c r="L104" s="192" t="n"/>
      <c r="N104" s="193">
        <f>IF(L104="",$B$4,L104)</f>
        <v>46328</v>
      </c>
    </row>
    <row r="105">
      <c r="A105" s="193" t="n"/>
      <c r="G105" s="187" t="n"/>
      <c r="H105" s="187" t="n"/>
      <c r="I105" s="187" t="n"/>
      <c r="J105" s="187" t="n"/>
      <c r="L105" s="192" t="n"/>
      <c r="N105" s="193">
        <f>IF(L105="",$B$4,L105)</f>
        <v>46328</v>
      </c>
    </row>
    <row r="106">
      <c r="A106" s="193" t="n"/>
      <c r="G106" s="187" t="n"/>
      <c r="H106" s="187" t="n"/>
      <c r="I106" s="187" t="n"/>
      <c r="J106" s="187" t="n"/>
      <c r="L106" s="192" t="n"/>
      <c r="N106" s="193">
        <f>IF(L106="",$B$4,L106)</f>
        <v>46328</v>
      </c>
    </row>
    <row r="107">
      <c r="A107" s="193" t="n"/>
      <c r="G107" s="187" t="n"/>
      <c r="H107" s="187" t="n"/>
      <c r="I107" s="187" t="n"/>
      <c r="J107" s="187" t="n"/>
      <c r="L107" s="192" t="n"/>
      <c r="N107" s="193">
        <f>IF(L107="",$B$4,L107)</f>
        <v>46328</v>
      </c>
    </row>
    <row r="108">
      <c r="A108" s="193" t="n"/>
      <c r="G108" s="187" t="n"/>
      <c r="H108" s="187" t="n"/>
      <c r="I108" s="187" t="n"/>
      <c r="J108" s="187" t="n"/>
      <c r="L108" s="192" t="n"/>
      <c r="N108" s="193">
        <f>IF(L108="",$B$4,L108)</f>
        <v>46328</v>
      </c>
    </row>
    <row r="109">
      <c r="A109" s="193" t="n"/>
      <c r="G109" s="187" t="n"/>
      <c r="H109" s="187" t="n"/>
      <c r="I109" s="187" t="n"/>
      <c r="J109" s="187" t="n"/>
      <c r="L109" s="192" t="n"/>
      <c r="N109" s="193">
        <f>IF(L109="",$B$4,L109)</f>
        <v>46328</v>
      </c>
    </row>
    <row r="110">
      <c r="A110" s="193" t="n"/>
      <c r="G110" s="187" t="n"/>
      <c r="H110" s="187" t="n"/>
      <c r="I110" s="187" t="n"/>
      <c r="J110" s="187" t="n"/>
      <c r="L110" s="192" t="n"/>
      <c r="N110" s="193">
        <f>IF(L110="",$B$4,L110)</f>
        <v>46328</v>
      </c>
    </row>
    <row r="111">
      <c r="A111" s="193" t="n"/>
      <c r="G111" s="187" t="n"/>
      <c r="H111" s="187" t="n"/>
      <c r="I111" s="187" t="n"/>
      <c r="J111" s="187" t="n"/>
      <c r="L111" s="192" t="n"/>
      <c r="N111" s="193">
        <f>IF(L111="",$B$4,L111)</f>
        <v>46328</v>
      </c>
    </row>
    <row r="112">
      <c r="A112" s="193" t="n"/>
      <c r="G112" s="187" t="n"/>
      <c r="H112" s="187" t="n"/>
      <c r="I112" s="187" t="n"/>
      <c r="J112" s="187" t="n"/>
      <c r="L112" s="192" t="n"/>
      <c r="N112" s="193">
        <f>IF(L112="",$B$4,L112)</f>
        <v>46328</v>
      </c>
    </row>
    <row r="113">
      <c r="A113" s="193" t="n"/>
      <c r="G113" s="187" t="n"/>
      <c r="H113" s="187" t="n"/>
      <c r="I113" s="187" t="n"/>
      <c r="J113" s="187" t="n"/>
      <c r="L113" s="192" t="n"/>
      <c r="N113" s="193">
        <f>IF(L113="",$B$4,L113)</f>
        <v>46328</v>
      </c>
    </row>
    <row r="114">
      <c r="A114" s="193" t="n"/>
      <c r="G114" s="187" t="n"/>
      <c r="H114" s="187" t="n"/>
      <c r="I114" s="187" t="n"/>
      <c r="J114" s="187" t="n"/>
      <c r="L114" s="192" t="n"/>
      <c r="N114" s="193">
        <f>IF(L114="",$B$4,L114)</f>
        <v>46328</v>
      </c>
    </row>
    <row r="115">
      <c r="A115" s="193" t="n"/>
      <c r="G115" s="187" t="n"/>
      <c r="H115" s="187" t="n"/>
      <c r="I115" s="187" t="n"/>
      <c r="J115" s="187" t="n"/>
      <c r="L115" s="192" t="n"/>
      <c r="N115" s="193">
        <f>IF(L115="",$B$4,L115)</f>
        <v>46328</v>
      </c>
    </row>
    <row r="116">
      <c r="A116" s="193" t="n"/>
      <c r="G116" s="187" t="n"/>
      <c r="H116" s="187" t="n"/>
      <c r="I116" s="187" t="n"/>
      <c r="J116" s="187" t="n"/>
      <c r="L116" s="192" t="n"/>
      <c r="N116" s="193">
        <f>IF(L116="",$B$4,L116)</f>
        <v>46328</v>
      </c>
    </row>
    <row r="117">
      <c r="A117" s="193" t="n"/>
      <c r="G117" s="187" t="n"/>
      <c r="H117" s="187" t="n"/>
      <c r="I117" s="187" t="n"/>
      <c r="J117" s="187" t="n"/>
      <c r="L117" s="192" t="n"/>
      <c r="N117" s="193">
        <f>IF(L117="",$B$4,L117)</f>
        <v>46328</v>
      </c>
    </row>
    <row r="118">
      <c r="A118" s="193" t="n"/>
      <c r="G118" s="187" t="n"/>
      <c r="H118" s="187" t="n"/>
      <c r="I118" s="187" t="n"/>
      <c r="J118" s="187" t="n"/>
      <c r="L118" s="192" t="n"/>
      <c r="N118" s="193">
        <f>IF(L118="",$B$4,L118)</f>
        <v>46328</v>
      </c>
    </row>
    <row r="119">
      <c r="A119" s="193" t="n"/>
      <c r="G119" s="187" t="n"/>
      <c r="H119" s="187" t="n"/>
      <c r="I119" s="187" t="n"/>
      <c r="J119" s="187" t="n"/>
      <c r="L119" s="192" t="n"/>
      <c r="N119" s="193">
        <f>IF(L119="",$B$4,L119)</f>
        <v>46328</v>
      </c>
    </row>
    <row r="120">
      <c r="A120" s="193" t="n"/>
      <c r="G120" s="187" t="n"/>
      <c r="H120" s="187" t="n"/>
      <c r="I120" s="187" t="n"/>
      <c r="J120" s="187" t="n"/>
      <c r="L120" s="192" t="n"/>
      <c r="N120" s="193">
        <f>IF(L120="",$B$4,L120)</f>
        <v>46328</v>
      </c>
    </row>
    <row r="121">
      <c r="A121" s="193" t="n"/>
      <c r="G121" s="187" t="n"/>
      <c r="H121" s="187" t="n"/>
      <c r="I121" s="187" t="n"/>
      <c r="J121" s="187" t="n"/>
      <c r="L121" s="192" t="n"/>
      <c r="N121" s="193">
        <f>IF(L121="",$B$4,L121)</f>
        <v>46328</v>
      </c>
    </row>
    <row r="122">
      <c r="A122" s="193" t="n"/>
      <c r="G122" s="187" t="n"/>
      <c r="H122" s="187" t="n"/>
      <c r="I122" s="187" t="n"/>
      <c r="J122" s="187" t="n"/>
      <c r="L122" s="192" t="n"/>
      <c r="N122" s="193">
        <f>IF(L122="",$B$4,L122)</f>
        <v>46328</v>
      </c>
    </row>
    <row r="123">
      <c r="A123" s="193" t="n"/>
      <c r="G123" s="187" t="n"/>
      <c r="H123" s="187" t="n"/>
      <c r="I123" s="187" t="n"/>
      <c r="J123" s="187" t="n"/>
      <c r="L123" s="192" t="n"/>
      <c r="N123" s="193">
        <f>IF(L123="",$B$4,L123)</f>
        <v>46328</v>
      </c>
    </row>
    <row r="124">
      <c r="A124" s="193" t="n"/>
      <c r="G124" s="187" t="n"/>
      <c r="H124" s="187" t="n"/>
      <c r="I124" s="187" t="n"/>
      <c r="J124" s="187" t="n"/>
      <c r="L124" s="192" t="n"/>
      <c r="N124" s="193">
        <f>IF(L124="",$B$4,L124)</f>
        <v>46328</v>
      </c>
    </row>
    <row r="125">
      <c r="A125" s="193" t="n"/>
      <c r="G125" s="187" t="n"/>
      <c r="H125" s="187" t="n"/>
      <c r="I125" s="187" t="n"/>
      <c r="J125" s="187" t="n"/>
      <c r="L125" s="192" t="n"/>
      <c r="N125" s="193">
        <f>IF(L125="",$B$4,L125)</f>
        <v>46328</v>
      </c>
    </row>
    <row r="126">
      <c r="A126" s="193" t="n"/>
      <c r="G126" s="187" t="n"/>
      <c r="H126" s="187" t="n"/>
      <c r="I126" s="187" t="n"/>
      <c r="J126" s="187" t="n"/>
      <c r="L126" s="192" t="n"/>
      <c r="N126" s="193">
        <f>IF(L126="",$B$4,L126)</f>
        <v>46328</v>
      </c>
    </row>
    <row r="127">
      <c r="A127" s="193" t="n"/>
      <c r="G127" s="187" t="n"/>
      <c r="H127" s="187" t="n"/>
      <c r="I127" s="187" t="n"/>
      <c r="J127" s="187" t="n"/>
      <c r="L127" s="192" t="n"/>
      <c r="N127" s="193">
        <f>IF(L127="",$B$4,L127)</f>
        <v>46328</v>
      </c>
    </row>
    <row r="128">
      <c r="A128" s="193" t="n"/>
      <c r="G128" s="187" t="n"/>
      <c r="H128" s="187" t="n"/>
      <c r="I128" s="187" t="n"/>
      <c r="J128" s="187" t="n"/>
      <c r="L128" s="192" t="n"/>
      <c r="N128" s="193">
        <f>IF(L128="",$B$4,L128)</f>
        <v>46328</v>
      </c>
    </row>
    <row r="129">
      <c r="A129" s="193" t="n"/>
      <c r="G129" s="187" t="n"/>
      <c r="H129" s="187" t="n"/>
      <c r="I129" s="187" t="n"/>
      <c r="J129" s="187" t="n"/>
      <c r="L129" s="192" t="n"/>
      <c r="N129" s="193">
        <f>IF(L129="",$B$4,L129)</f>
        <v>46328</v>
      </c>
    </row>
    <row r="130">
      <c r="A130" s="193" t="n"/>
      <c r="G130" s="187" t="n"/>
      <c r="H130" s="187" t="n"/>
      <c r="I130" s="187" t="n"/>
      <c r="J130" s="187" t="n"/>
      <c r="L130" s="192" t="n"/>
      <c r="N130" s="193">
        <f>IF(L130="",$B$4,L130)</f>
        <v>46328</v>
      </c>
    </row>
    <row r="131">
      <c r="A131" s="193" t="n"/>
      <c r="G131" s="187" t="n"/>
      <c r="H131" s="187" t="n"/>
      <c r="I131" s="187" t="n"/>
      <c r="J131" s="187" t="n"/>
      <c r="L131" s="192" t="n"/>
      <c r="N131" s="193">
        <f>IF(L131="",$B$4,L131)</f>
        <v>46328</v>
      </c>
    </row>
    <row r="132">
      <c r="A132" s="193" t="n"/>
      <c r="G132" s="187" t="n"/>
      <c r="H132" s="187" t="n"/>
      <c r="I132" s="187" t="n"/>
      <c r="J132" s="187" t="n"/>
      <c r="L132" s="192" t="n"/>
      <c r="N132" s="193">
        <f>IF(L132="",$B$4,L132)</f>
        <v>46328</v>
      </c>
    </row>
    <row r="133">
      <c r="A133" s="193" t="n"/>
      <c r="G133" s="187" t="n"/>
      <c r="H133" s="187" t="n"/>
      <c r="I133" s="187" t="n"/>
      <c r="J133" s="187" t="n"/>
      <c r="L133" s="192" t="n"/>
      <c r="N133" s="193">
        <f>IF(L133="",$B$4,L133)</f>
        <v>46328</v>
      </c>
    </row>
    <row r="134">
      <c r="A134" s="193" t="n"/>
      <c r="G134" s="187" t="n"/>
      <c r="H134" s="187" t="n"/>
      <c r="I134" s="187" t="n"/>
      <c r="J134" s="187" t="n"/>
      <c r="L134" s="192" t="n"/>
      <c r="N134" s="193">
        <f>IF(L134="",$B$4,L134)</f>
        <v>46328</v>
      </c>
    </row>
    <row r="135">
      <c r="A135" s="193" t="n"/>
      <c r="G135" s="187" t="n"/>
      <c r="H135" s="187" t="n"/>
      <c r="I135" s="187" t="n"/>
      <c r="J135" s="187" t="n"/>
      <c r="L135" s="192" t="n"/>
      <c r="N135" s="193">
        <f>IF(L135="",$B$4,L135)</f>
        <v>46328</v>
      </c>
    </row>
    <row r="136">
      <c r="A136" s="193" t="n"/>
      <c r="G136" s="187" t="n"/>
      <c r="H136" s="187" t="n"/>
      <c r="I136" s="187" t="n"/>
      <c r="J136" s="187" t="n"/>
      <c r="L136" s="192" t="n"/>
      <c r="N136" s="193">
        <f>IF(L136="",$B$4,L136)</f>
        <v>46328</v>
      </c>
    </row>
    <row r="137">
      <c r="A137" s="193" t="n"/>
      <c r="G137" s="187" t="n"/>
      <c r="H137" s="187" t="n"/>
      <c r="I137" s="187" t="n"/>
      <c r="J137" s="187" t="n"/>
      <c r="L137" s="192" t="n"/>
      <c r="N137" s="193">
        <f>IF(L137="",$B$4,L137)</f>
        <v>46328</v>
      </c>
    </row>
    <row r="138">
      <c r="A138" s="193" t="n"/>
      <c r="G138" s="187" t="n"/>
      <c r="H138" s="187" t="n"/>
      <c r="I138" s="187" t="n"/>
      <c r="J138" s="187" t="n"/>
      <c r="L138" s="192" t="n"/>
      <c r="N138" s="193">
        <f>IF(L138="",$B$4,L138)</f>
        <v>46328</v>
      </c>
    </row>
    <row r="139">
      <c r="A139" s="193" t="n"/>
      <c r="G139" s="187" t="n"/>
      <c r="H139" s="187" t="n"/>
      <c r="I139" s="187" t="n"/>
      <c r="J139" s="187" t="n"/>
      <c r="L139" s="192" t="n"/>
      <c r="N139" s="193">
        <f>IF(L139="",$B$4,L139)</f>
        <v>46328</v>
      </c>
    </row>
    <row r="140">
      <c r="A140" s="193" t="n"/>
      <c r="G140" s="187" t="n"/>
      <c r="H140" s="187" t="n"/>
      <c r="I140" s="187" t="n"/>
      <c r="J140" s="187" t="n"/>
      <c r="L140" s="192" t="n"/>
      <c r="N140" s="193">
        <f>IF(L140="",$B$4,L140)</f>
        <v>46328</v>
      </c>
    </row>
    <row r="141">
      <c r="A141" s="193" t="n"/>
      <c r="G141" s="187" t="n"/>
      <c r="H141" s="187" t="n"/>
      <c r="I141" s="187" t="n"/>
      <c r="J141" s="187" t="n"/>
      <c r="L141" s="192" t="n"/>
      <c r="N141" s="193">
        <f>IF(L141="",$B$4,L141)</f>
        <v>46328</v>
      </c>
    </row>
    <row r="142">
      <c r="A142" s="193" t="n"/>
      <c r="G142" s="187" t="n"/>
      <c r="H142" s="187" t="n"/>
      <c r="I142" s="187" t="n"/>
      <c r="J142" s="187" t="n"/>
      <c r="L142" s="192" t="n"/>
      <c r="N142" s="193">
        <f>IF(L142="",$B$4,L142)</f>
        <v>46328</v>
      </c>
    </row>
    <row r="143">
      <c r="A143" s="193" t="n"/>
      <c r="G143" s="187" t="n"/>
      <c r="H143" s="187" t="n"/>
      <c r="I143" s="187" t="n"/>
      <c r="J143" s="187" t="n"/>
      <c r="L143" s="192" t="n"/>
      <c r="N143" s="193">
        <f>IF(L143="",$B$4,L143)</f>
        <v>46328</v>
      </c>
    </row>
    <row r="144">
      <c r="A144" s="193" t="n"/>
      <c r="G144" s="187" t="n"/>
      <c r="H144" s="187" t="n"/>
      <c r="I144" s="187" t="n"/>
      <c r="J144" s="187" t="n"/>
      <c r="L144" s="192" t="n"/>
      <c r="N144" s="193">
        <f>IF(L144="",$B$4,L144)</f>
        <v>46328</v>
      </c>
    </row>
    <row r="145">
      <c r="A145" s="193" t="n"/>
      <c r="G145" s="187" t="n"/>
      <c r="H145" s="187" t="n"/>
      <c r="I145" s="187" t="n"/>
      <c r="J145" s="187" t="n"/>
      <c r="L145" s="192" t="n"/>
      <c r="N145" s="193">
        <f>IF(L145="",$B$4,L145)</f>
        <v>46328</v>
      </c>
    </row>
    <row r="146">
      <c r="A146" s="193" t="n"/>
      <c r="G146" s="187" t="n"/>
      <c r="H146" s="187" t="n"/>
      <c r="I146" s="187" t="n"/>
      <c r="J146" s="187" t="n"/>
      <c r="L146" s="192" t="n"/>
      <c r="N146" s="193">
        <f>IF(L146="",$B$4,L146)</f>
        <v>46328</v>
      </c>
    </row>
    <row r="147">
      <c r="A147" s="193" t="n"/>
      <c r="G147" s="187" t="n"/>
      <c r="H147" s="187" t="n"/>
      <c r="I147" s="187" t="n"/>
      <c r="J147" s="187" t="n"/>
      <c r="L147" s="192" t="n"/>
      <c r="N147" s="193">
        <f>IF(L147="",$B$4,L147)</f>
        <v>46328</v>
      </c>
    </row>
    <row r="148">
      <c r="A148" s="193" t="n"/>
      <c r="G148" s="187" t="n"/>
      <c r="H148" s="187" t="n"/>
      <c r="I148" s="187" t="n"/>
      <c r="J148" s="187" t="n"/>
      <c r="L148" s="192" t="n"/>
      <c r="N148" s="193">
        <f>IF(L148="",$B$4,L148)</f>
        <v>46328</v>
      </c>
    </row>
    <row r="149">
      <c r="A149" s="193" t="n"/>
      <c r="G149" s="187" t="n"/>
      <c r="H149" s="187" t="n"/>
      <c r="I149" s="187" t="n"/>
      <c r="J149" s="187" t="n"/>
      <c r="L149" s="192" t="n"/>
      <c r="N149" s="193">
        <f>IF(L149="",$B$4,L149)</f>
        <v>46328</v>
      </c>
    </row>
    <row r="150">
      <c r="A150" s="193" t="n"/>
      <c r="G150" s="187" t="n"/>
      <c r="H150" s="187" t="n"/>
      <c r="I150" s="187" t="n"/>
      <c r="J150" s="187" t="n"/>
      <c r="L150" s="192" t="n"/>
      <c r="N150" s="193">
        <f>IF(L150="",$B$4,L150)</f>
        <v>46328</v>
      </c>
    </row>
    <row r="151">
      <c r="A151" s="193" t="n"/>
      <c r="G151" s="187" t="n"/>
      <c r="H151" s="187" t="n"/>
      <c r="I151" s="187" t="n"/>
      <c r="J151" s="187" t="n"/>
      <c r="L151" s="192" t="n"/>
      <c r="N151" s="193">
        <f>IF(L151="",$B$4,L151)</f>
        <v>46328</v>
      </c>
    </row>
    <row r="152">
      <c r="A152" s="193" t="n"/>
      <c r="G152" s="187" t="n"/>
      <c r="H152" s="187" t="n"/>
      <c r="I152" s="187" t="n"/>
      <c r="J152" s="187" t="n"/>
      <c r="L152" s="192" t="n"/>
      <c r="N152" s="193">
        <f>IF(L152="",$B$4,L152)</f>
        <v>46328</v>
      </c>
    </row>
    <row r="153">
      <c r="A153" s="193" t="n"/>
      <c r="G153" s="187" t="n"/>
      <c r="H153" s="187" t="n"/>
      <c r="I153" s="187" t="n"/>
      <c r="J153" s="187" t="n"/>
      <c r="L153" s="192" t="n"/>
      <c r="N153" s="193">
        <f>IF(L153="",$B$4,L153)</f>
        <v>46328</v>
      </c>
    </row>
    <row r="154">
      <c r="A154" s="193" t="n"/>
      <c r="G154" s="187" t="n"/>
      <c r="H154" s="187" t="n"/>
      <c r="I154" s="187" t="n"/>
      <c r="J154" s="187" t="n"/>
      <c r="L154" s="192" t="n"/>
      <c r="N154" s="193">
        <f>IF(L154="",$B$4,L154)</f>
        <v>46328</v>
      </c>
    </row>
    <row r="155">
      <c r="A155" s="193" t="n"/>
      <c r="G155" s="187" t="n"/>
      <c r="H155" s="187" t="n"/>
      <c r="I155" s="187" t="n"/>
      <c r="J155" s="187" t="n"/>
      <c r="L155" s="192" t="n"/>
      <c r="N155" s="193">
        <f>IF(L155="",$B$4,L155)</f>
        <v>46328</v>
      </c>
    </row>
    <row r="156">
      <c r="A156" s="193" t="n"/>
      <c r="G156" s="187" t="n"/>
      <c r="H156" s="187" t="n"/>
      <c r="I156" s="187" t="n"/>
      <c r="J156" s="187" t="n"/>
      <c r="L156" s="192" t="n"/>
      <c r="N156" s="193">
        <f>IF(L156="",$B$4,L156)</f>
        <v>46328</v>
      </c>
    </row>
    <row r="157">
      <c r="A157" s="193" t="n"/>
      <c r="G157" s="187" t="n"/>
      <c r="H157" s="187" t="n"/>
      <c r="I157" s="187" t="n"/>
      <c r="J157" s="187" t="n"/>
      <c r="L157" s="192" t="n"/>
      <c r="N157" s="193">
        <f>IF(L157="",$B$4,L157)</f>
        <v>46328</v>
      </c>
    </row>
    <row r="158">
      <c r="A158" s="193" t="n"/>
      <c r="G158" s="187" t="n"/>
      <c r="H158" s="187" t="n"/>
      <c r="I158" s="187" t="n"/>
      <c r="J158" s="187" t="n"/>
      <c r="L158" s="192" t="n"/>
      <c r="N158" s="193">
        <f>IF(L158="",$B$4,L158)</f>
        <v>46328</v>
      </c>
    </row>
    <row r="159">
      <c r="A159" s="193" t="n"/>
      <c r="G159" s="187" t="n"/>
      <c r="H159" s="187" t="n"/>
      <c r="I159" s="187" t="n"/>
      <c r="J159" s="187" t="n"/>
      <c r="L159" s="192" t="n"/>
      <c r="N159" s="193">
        <f>IF(L159="",$B$4,L159)</f>
        <v>46328</v>
      </c>
    </row>
    <row r="160">
      <c r="A160" s="193" t="n"/>
      <c r="G160" s="187" t="n"/>
      <c r="H160" s="187" t="n"/>
      <c r="I160" s="187" t="n"/>
      <c r="J160" s="187" t="n"/>
      <c r="L160" s="192" t="n"/>
      <c r="N160" s="193">
        <f>IF(L160="",$B$4,L160)</f>
        <v>46328</v>
      </c>
    </row>
    <row r="161">
      <c r="A161" s="193" t="n"/>
      <c r="G161" s="187" t="n"/>
      <c r="H161" s="187" t="n"/>
      <c r="I161" s="187" t="n"/>
      <c r="J161" s="187" t="n"/>
      <c r="L161" s="192" t="n"/>
      <c r="N161" s="193">
        <f>IF(L161="",$B$4,L161)</f>
        <v>46328</v>
      </c>
    </row>
    <row r="162">
      <c r="A162" s="193" t="n"/>
      <c r="G162" s="187" t="n"/>
      <c r="H162" s="187" t="n"/>
      <c r="I162" s="187" t="n"/>
      <c r="J162" s="187" t="n"/>
      <c r="L162" s="192" t="n"/>
      <c r="N162" s="193">
        <f>IF(L162="",$B$4,L162)</f>
        <v>46328</v>
      </c>
    </row>
    <row r="163">
      <c r="A163" s="193" t="n"/>
      <c r="G163" s="187" t="n"/>
      <c r="H163" s="187" t="n"/>
      <c r="I163" s="187" t="n"/>
      <c r="J163" s="187" t="n"/>
      <c r="L163" s="192" t="n"/>
      <c r="N163" s="193">
        <f>IF(L163="",$B$4,L163)</f>
        <v>46328</v>
      </c>
    </row>
    <row r="164">
      <c r="A164" s="193" t="n"/>
      <c r="G164" s="187" t="n"/>
      <c r="H164" s="187" t="n"/>
      <c r="I164" s="187" t="n"/>
      <c r="J164" s="187" t="n"/>
      <c r="L164" s="192" t="n"/>
      <c r="N164" s="193">
        <f>IF(L164="",$B$4,L164)</f>
        <v>46328</v>
      </c>
    </row>
    <row r="165">
      <c r="A165" s="193" t="n"/>
      <c r="G165" s="187" t="n"/>
      <c r="H165" s="187" t="n"/>
      <c r="I165" s="187" t="n"/>
      <c r="J165" s="187" t="n"/>
      <c r="L165" s="192" t="n"/>
      <c r="N165" s="193">
        <f>IF(L165="",$B$4,L165)</f>
        <v>46328</v>
      </c>
    </row>
    <row r="166">
      <c r="A166" s="193" t="n"/>
      <c r="G166" s="187" t="n"/>
      <c r="H166" s="187" t="n"/>
      <c r="I166" s="187" t="n"/>
      <c r="J166" s="187" t="n"/>
      <c r="L166" s="192" t="n"/>
      <c r="N166" s="193">
        <f>IF(L166="",$B$4,L166)</f>
        <v>46328</v>
      </c>
    </row>
    <row r="167">
      <c r="A167" s="193" t="n"/>
      <c r="G167" s="187" t="n"/>
      <c r="H167" s="187" t="n"/>
      <c r="I167" s="187" t="n"/>
      <c r="J167" s="187" t="n"/>
      <c r="L167" s="192" t="n"/>
      <c r="N167" s="193">
        <f>IF(L167="",$B$4,L167)</f>
        <v>46328</v>
      </c>
    </row>
    <row r="168">
      <c r="A168" s="193" t="n"/>
      <c r="G168" s="187" t="n"/>
      <c r="H168" s="187" t="n"/>
      <c r="I168" s="187" t="n"/>
      <c r="J168" s="187" t="n"/>
      <c r="L168" s="192" t="n"/>
      <c r="N168" s="193">
        <f>IF(L168="",$B$4,L168)</f>
        <v>46328</v>
      </c>
    </row>
    <row r="169">
      <c r="A169" s="193" t="n"/>
      <c r="G169" s="187" t="n"/>
      <c r="H169" s="187" t="n"/>
      <c r="I169" s="187" t="n"/>
      <c r="J169" s="187" t="n"/>
      <c r="L169" s="192" t="n"/>
      <c r="N169" s="193">
        <f>IF(L169="",$B$4,L169)</f>
        <v>46328</v>
      </c>
    </row>
    <row r="170">
      <c r="A170" s="193" t="n"/>
      <c r="G170" s="187" t="n"/>
      <c r="H170" s="187" t="n"/>
      <c r="I170" s="187" t="n"/>
      <c r="J170" s="187" t="n"/>
      <c r="L170" s="192" t="n"/>
      <c r="N170" s="193">
        <f>IF(L170="",$B$4,L170)</f>
        <v>46328</v>
      </c>
    </row>
    <row r="171">
      <c r="A171" s="193" t="n"/>
      <c r="G171" s="187" t="n"/>
      <c r="H171" s="187" t="n"/>
      <c r="I171" s="187" t="n"/>
      <c r="J171" s="187" t="n"/>
      <c r="L171" s="192" t="n"/>
      <c r="N171" s="193">
        <f>IF(L171="",$B$4,L171)</f>
        <v>46328</v>
      </c>
    </row>
    <row r="172">
      <c r="A172" s="193" t="n"/>
      <c r="G172" s="187" t="n"/>
      <c r="H172" s="187" t="n"/>
      <c r="I172" s="187" t="n"/>
      <c r="J172" s="187" t="n"/>
      <c r="L172" s="192" t="n"/>
      <c r="N172" s="193">
        <f>IF(L172="",$B$4,L172)</f>
        <v>46328</v>
      </c>
    </row>
    <row r="173">
      <c r="A173" s="193" t="n"/>
      <c r="G173" s="187" t="n"/>
      <c r="H173" s="187" t="n"/>
      <c r="I173" s="187" t="n"/>
      <c r="J173" s="187" t="n"/>
      <c r="L173" s="192" t="n"/>
      <c r="N173" s="193">
        <f>IF(L173="",$B$4,L173)</f>
        <v>46328</v>
      </c>
    </row>
    <row r="174">
      <c r="A174" s="193" t="n"/>
      <c r="G174" s="187" t="n"/>
      <c r="H174" s="187" t="n"/>
      <c r="I174" s="187" t="n"/>
      <c r="J174" s="187" t="n"/>
      <c r="L174" s="192" t="n"/>
      <c r="N174" s="193">
        <f>IF(L174="",$B$4,L174)</f>
        <v>46328</v>
      </c>
    </row>
    <row r="175">
      <c r="A175" s="193" t="n"/>
      <c r="G175" s="187" t="n"/>
      <c r="H175" s="187" t="n"/>
      <c r="I175" s="187" t="n"/>
      <c r="J175" s="187" t="n"/>
      <c r="L175" s="192" t="n"/>
      <c r="N175" s="193">
        <f>IF(L175="",$B$4,L175)</f>
        <v>46328</v>
      </c>
    </row>
    <row r="176">
      <c r="A176" s="193" t="n"/>
      <c r="G176" s="187" t="n"/>
      <c r="H176" s="187" t="n"/>
      <c r="I176" s="187" t="n"/>
      <c r="J176" s="187" t="n"/>
      <c r="L176" s="192" t="n"/>
      <c r="N176" s="193">
        <f>IF(L176="",$B$4,L176)</f>
        <v>46328</v>
      </c>
    </row>
    <row r="177">
      <c r="A177" s="193" t="n"/>
      <c r="G177" s="187" t="n"/>
      <c r="H177" s="187" t="n"/>
      <c r="I177" s="187" t="n"/>
      <c r="J177" s="187" t="n"/>
      <c r="L177" s="192" t="n"/>
      <c r="N177" s="193">
        <f>IF(L177="",$B$4,L177)</f>
        <v>46328</v>
      </c>
    </row>
    <row r="178">
      <c r="A178" s="193" t="n"/>
      <c r="G178" s="187" t="n"/>
      <c r="H178" s="187" t="n"/>
      <c r="I178" s="187" t="n"/>
      <c r="J178" s="187" t="n"/>
      <c r="L178" s="192" t="n"/>
      <c r="N178" s="193">
        <f>IF(L178="",$B$4,L178)</f>
        <v>46328</v>
      </c>
    </row>
    <row r="179">
      <c r="A179" s="193" t="n"/>
      <c r="G179" s="187" t="n"/>
      <c r="H179" s="187" t="n"/>
      <c r="I179" s="187" t="n"/>
      <c r="J179" s="187" t="n"/>
      <c r="L179" s="192" t="n"/>
      <c r="N179" s="193">
        <f>IF(L179="",$B$4,L179)</f>
        <v>46328</v>
      </c>
    </row>
    <row r="180">
      <c r="A180" s="193" t="n"/>
      <c r="G180" s="187" t="n"/>
      <c r="H180" s="187" t="n"/>
      <c r="I180" s="187" t="n"/>
      <c r="J180" s="187" t="n"/>
      <c r="L180" s="192" t="n"/>
      <c r="N180" s="193">
        <f>IF(L180="",$B$4,L180)</f>
        <v>46328</v>
      </c>
    </row>
    <row r="181">
      <c r="A181" s="193" t="n"/>
      <c r="G181" s="187" t="n"/>
      <c r="H181" s="187" t="n"/>
      <c r="I181" s="187" t="n"/>
      <c r="J181" s="187" t="n"/>
      <c r="L181" s="192" t="n"/>
      <c r="N181" s="193">
        <f>IF(L181="",$B$4,L181)</f>
        <v>46328</v>
      </c>
    </row>
    <row r="182">
      <c r="A182" s="193" t="n"/>
      <c r="G182" s="187" t="n"/>
      <c r="H182" s="187" t="n"/>
      <c r="I182" s="187" t="n"/>
      <c r="J182" s="187" t="n"/>
      <c r="L182" s="192" t="n"/>
      <c r="N182" s="193">
        <f>IF(L182="",$B$4,L182)</f>
        <v>46328</v>
      </c>
    </row>
    <row r="183">
      <c r="A183" s="193" t="n"/>
      <c r="G183" s="187" t="n"/>
      <c r="H183" s="187" t="n"/>
      <c r="I183" s="187" t="n"/>
      <c r="J183" s="187" t="n"/>
      <c r="L183" s="192" t="n"/>
      <c r="N183" s="193">
        <f>IF(L183="",$B$4,L183)</f>
        <v>46328</v>
      </c>
    </row>
    <row r="184">
      <c r="A184" s="193" t="n"/>
      <c r="G184" s="187" t="n"/>
      <c r="H184" s="187" t="n"/>
      <c r="I184" s="187" t="n"/>
      <c r="J184" s="187" t="n"/>
      <c r="L184" s="192" t="n"/>
      <c r="N184" s="193">
        <f>IF(L184="",$B$4,L184)</f>
        <v>46328</v>
      </c>
    </row>
    <row r="185">
      <c r="A185" s="193" t="n"/>
      <c r="G185" s="187" t="n"/>
      <c r="H185" s="187" t="n"/>
      <c r="I185" s="187" t="n"/>
      <c r="J185" s="187" t="n"/>
      <c r="L185" s="192" t="n"/>
      <c r="N185" s="193">
        <f>IF(L185="",$B$4,L185)</f>
        <v>46328</v>
      </c>
    </row>
    <row r="186">
      <c r="A186" s="193" t="n"/>
      <c r="G186" s="187" t="n"/>
      <c r="H186" s="187" t="n"/>
      <c r="I186" s="187" t="n"/>
      <c r="J186" s="187" t="n"/>
      <c r="L186" s="192" t="n"/>
      <c r="N186" s="193">
        <f>IF(L186="",$B$4,L186)</f>
        <v>46328</v>
      </c>
    </row>
    <row r="187">
      <c r="A187" s="193" t="n"/>
      <c r="G187" s="187" t="n"/>
      <c r="H187" s="187" t="n"/>
      <c r="I187" s="187" t="n"/>
      <c r="J187" s="187" t="n"/>
      <c r="L187" s="192" t="n"/>
      <c r="N187" s="193">
        <f>IF(L187="",$B$4,L187)</f>
        <v>46328</v>
      </c>
    </row>
    <row r="188">
      <c r="A188" s="193" t="n"/>
      <c r="G188" s="187" t="n"/>
      <c r="H188" s="187" t="n"/>
      <c r="I188" s="187" t="n"/>
      <c r="J188" s="187" t="n"/>
      <c r="L188" s="192" t="n"/>
      <c r="N188" s="193">
        <f>IF(L188="",$B$4,L188)</f>
        <v>46328</v>
      </c>
    </row>
    <row r="189">
      <c r="A189" s="193" t="n"/>
      <c r="G189" s="187" t="n"/>
      <c r="H189" s="187" t="n"/>
      <c r="I189" s="187" t="n"/>
      <c r="J189" s="187" t="n"/>
      <c r="L189" s="192" t="n"/>
      <c r="N189" s="193">
        <f>IF(L189="",$B$4,L189)</f>
        <v>46328</v>
      </c>
    </row>
    <row r="190">
      <c r="A190" s="193" t="n"/>
      <c r="G190" s="187" t="n"/>
      <c r="H190" s="187" t="n"/>
      <c r="I190" s="187" t="n"/>
      <c r="J190" s="187" t="n"/>
      <c r="L190" s="192" t="n"/>
      <c r="N190" s="193">
        <f>IF(L190="",$B$4,L190)</f>
        <v>46328</v>
      </c>
    </row>
    <row r="191">
      <c r="A191" s="193" t="n"/>
      <c r="G191" s="187" t="n"/>
      <c r="H191" s="187" t="n"/>
      <c r="I191" s="187" t="n"/>
      <c r="J191" s="187" t="n"/>
      <c r="L191" s="192" t="n"/>
      <c r="N191" s="193">
        <f>IF(L191="",$B$4,L191)</f>
        <v>46328</v>
      </c>
    </row>
    <row r="192">
      <c r="A192" s="193" t="n"/>
      <c r="G192" s="187" t="n"/>
      <c r="H192" s="187" t="n"/>
      <c r="I192" s="187" t="n"/>
      <c r="J192" s="187" t="n"/>
      <c r="L192" s="192" t="n"/>
      <c r="N192" s="193">
        <f>IF(L192="",$B$4,L192)</f>
        <v>46328</v>
      </c>
    </row>
    <row r="193">
      <c r="A193" s="193" t="n"/>
      <c r="G193" s="187" t="n"/>
      <c r="H193" s="187" t="n"/>
      <c r="I193" s="187" t="n"/>
      <c r="J193" s="187" t="n"/>
      <c r="L193" s="192" t="n"/>
      <c r="N193" s="193">
        <f>IF(L193="",$B$4,L193)</f>
        <v>46328</v>
      </c>
    </row>
    <row r="194">
      <c r="A194" s="193" t="n"/>
      <c r="G194" s="187" t="n"/>
      <c r="H194" s="187" t="n"/>
      <c r="I194" s="187" t="n"/>
      <c r="J194" s="187" t="n"/>
      <c r="L194" s="192" t="n"/>
      <c r="N194" s="193">
        <f>IF(L194="",$B$4,L194)</f>
        <v>46328</v>
      </c>
    </row>
    <row r="195">
      <c r="A195" s="193" t="n"/>
      <c r="G195" s="187" t="n"/>
      <c r="H195" s="187" t="n"/>
      <c r="I195" s="187" t="n"/>
      <c r="J195" s="187" t="n"/>
      <c r="L195" s="192" t="n"/>
      <c r="N195" s="193">
        <f>IF(L195="",$B$4,L195)</f>
        <v>46328</v>
      </c>
    </row>
    <row r="196">
      <c r="A196" s="193" t="n"/>
      <c r="G196" s="187" t="n"/>
      <c r="H196" s="187" t="n"/>
      <c r="I196" s="187" t="n"/>
      <c r="J196" s="187" t="n"/>
      <c r="L196" s="192" t="n"/>
      <c r="N196" s="193">
        <f>IF(L196="",$B$4,L196)</f>
        <v>46328</v>
      </c>
    </row>
    <row r="197">
      <c r="A197" s="193" t="n"/>
      <c r="G197" s="187" t="n"/>
      <c r="H197" s="187" t="n"/>
      <c r="I197" s="187" t="n"/>
      <c r="J197" s="187" t="n"/>
      <c r="L197" s="192" t="n"/>
      <c r="N197" s="193">
        <f>IF(L197="",$B$4,L197)</f>
        <v>46328</v>
      </c>
    </row>
    <row r="198">
      <c r="A198" s="193" t="n"/>
      <c r="G198" s="187" t="n"/>
      <c r="H198" s="187" t="n"/>
      <c r="I198" s="187" t="n"/>
      <c r="J198" s="187" t="n"/>
      <c r="L198" s="192" t="n"/>
      <c r="N198" s="193">
        <f>IF(L198="",$B$4,L198)</f>
        <v>46328</v>
      </c>
    </row>
    <row r="199">
      <c r="A199" s="193" t="n"/>
      <c r="G199" s="187" t="n"/>
      <c r="H199" s="187" t="n"/>
      <c r="I199" s="187" t="n"/>
      <c r="J199" s="187" t="n"/>
      <c r="L199" s="192" t="n"/>
      <c r="N199" s="193">
        <f>IF(L199="",$B$4,L199)</f>
        <v>46328</v>
      </c>
    </row>
    <row r="200">
      <c r="A200" s="193" t="n"/>
      <c r="G200" s="187" t="n"/>
      <c r="H200" s="187" t="n"/>
      <c r="I200" s="187" t="n"/>
      <c r="J200" s="187" t="n"/>
      <c r="L200" s="192" t="n"/>
      <c r="N200" s="193">
        <f>IF(L200="",$B$4,L200)</f>
        <v>46328</v>
      </c>
    </row>
    <row r="201">
      <c r="A201" s="193" t="n"/>
      <c r="G201" s="187" t="n"/>
      <c r="H201" s="187" t="n"/>
      <c r="I201" s="187" t="n"/>
      <c r="J201" s="187" t="n"/>
      <c r="L201" s="192" t="n"/>
      <c r="N201" s="193">
        <f>IF(L201="",$B$4,L201)</f>
        <v>46328</v>
      </c>
    </row>
    <row r="202">
      <c r="A202" s="193" t="n"/>
      <c r="G202" s="187" t="n"/>
      <c r="H202" s="187" t="n"/>
      <c r="I202" s="187" t="n"/>
      <c r="J202" s="187" t="n"/>
      <c r="L202" s="192" t="n"/>
      <c r="N202" s="193">
        <f>IF(L202="",$B$4,L202)</f>
        <v>46328</v>
      </c>
    </row>
    <row r="203">
      <c r="A203" s="193" t="n"/>
      <c r="G203" s="187" t="n"/>
      <c r="H203" s="187" t="n"/>
      <c r="I203" s="187" t="n"/>
      <c r="J203" s="187" t="n"/>
      <c r="L203" s="192" t="n"/>
      <c r="N203" s="193">
        <f>IF(L203="",$B$4,L203)</f>
        <v>46328</v>
      </c>
    </row>
    <row r="204">
      <c r="A204" s="193" t="n"/>
      <c r="G204" s="187" t="n"/>
      <c r="H204" s="187" t="n"/>
      <c r="I204" s="187" t="n"/>
      <c r="J204" s="187" t="n"/>
      <c r="L204" s="192" t="n"/>
      <c r="N204" s="193">
        <f>IF(L204="",$B$4,L204)</f>
        <v>46328</v>
      </c>
    </row>
    <row r="205">
      <c r="A205" s="193" t="n"/>
      <c r="G205" s="187" t="n"/>
      <c r="H205" s="187" t="n"/>
      <c r="I205" s="187" t="n"/>
      <c r="J205" s="187" t="n"/>
      <c r="L205" s="192" t="n"/>
      <c r="N205" s="193">
        <f>IF(L205="",$B$4,L205)</f>
        <v>46328</v>
      </c>
    </row>
    <row r="206">
      <c r="A206" s="193" t="n"/>
      <c r="G206" s="187" t="n"/>
      <c r="H206" s="187" t="n"/>
      <c r="I206" s="187" t="n"/>
      <c r="J206" s="187" t="n"/>
      <c r="L206" s="192" t="n"/>
      <c r="N206" s="193">
        <f>IF(L206="",$B$4,L206)</f>
        <v>46328</v>
      </c>
    </row>
    <row r="207">
      <c r="A207" s="193" t="n"/>
      <c r="G207" s="187" t="n"/>
      <c r="H207" s="187" t="n"/>
      <c r="I207" s="187" t="n"/>
      <c r="J207" s="187" t="n"/>
      <c r="L207" s="192" t="n"/>
      <c r="N207" s="193">
        <f>IF(L207="",$B$4,L207)</f>
        <v>46328</v>
      </c>
    </row>
    <row r="208">
      <c r="A208" s="193" t="n"/>
      <c r="G208" s="187" t="n"/>
      <c r="H208" s="187" t="n"/>
      <c r="I208" s="187" t="n"/>
      <c r="J208" s="187" t="n"/>
      <c r="L208" s="192" t="n"/>
      <c r="N208" s="193">
        <f>IF(L208="",$B$4,L208)</f>
        <v>46328</v>
      </c>
    </row>
    <row r="209">
      <c r="A209" s="193" t="n"/>
      <c r="G209" s="187" t="n"/>
      <c r="H209" s="187" t="n"/>
      <c r="I209" s="187" t="n"/>
      <c r="J209" s="187" t="n"/>
      <c r="L209" s="192" t="n"/>
      <c r="N209" s="193">
        <f>IF(L209="",$B$4,L209)</f>
        <v>46328</v>
      </c>
    </row>
    <row r="210">
      <c r="A210" s="193" t="n"/>
      <c r="G210" s="187" t="n"/>
      <c r="H210" s="187" t="n"/>
      <c r="I210" s="187" t="n"/>
      <c r="J210" s="187" t="n"/>
      <c r="L210" s="192" t="n"/>
      <c r="N210" s="193">
        <f>IF(L210="",$B$4,L210)</f>
        <v>46328</v>
      </c>
    </row>
    <row r="211">
      <c r="A211" s="193" t="n"/>
      <c r="G211" s="187" t="n"/>
      <c r="H211" s="187" t="n"/>
      <c r="I211" s="187" t="n"/>
      <c r="J211" s="187" t="n"/>
      <c r="L211" s="192" t="n"/>
      <c r="N211" s="193">
        <f>IF(L211="",$B$4,L211)</f>
        <v>46328</v>
      </c>
    </row>
    <row r="212">
      <c r="A212" s="193" t="n"/>
      <c r="G212" s="187" t="n"/>
      <c r="H212" s="187" t="n"/>
      <c r="I212" s="187" t="n"/>
      <c r="J212" s="187" t="n"/>
      <c r="L212" s="192" t="n"/>
      <c r="N212" s="193">
        <f>IF(L212="",$B$4,L212)</f>
        <v>46328</v>
      </c>
    </row>
    <row r="213">
      <c r="A213" s="193" t="n"/>
      <c r="G213" s="187" t="n"/>
      <c r="H213" s="187" t="n"/>
      <c r="I213" s="187" t="n"/>
      <c r="J213" s="187" t="n"/>
      <c r="L213" s="192" t="n"/>
      <c r="N213" s="193">
        <f>IF(L213="",$B$4,L213)</f>
        <v>46328</v>
      </c>
    </row>
    <row r="214">
      <c r="A214" s="193" t="n"/>
      <c r="G214" s="187" t="n"/>
      <c r="H214" s="187" t="n"/>
      <c r="I214" s="187" t="n"/>
      <c r="J214" s="187" t="n"/>
      <c r="L214" s="192" t="n"/>
      <c r="N214" s="193">
        <f>IF(L214="",$B$4,L214)</f>
        <v>46328</v>
      </c>
    </row>
    <row r="215">
      <c r="A215" s="193" t="n"/>
      <c r="G215" s="187" t="n"/>
      <c r="H215" s="187" t="n"/>
      <c r="I215" s="187" t="n"/>
      <c r="J215" s="187" t="n"/>
      <c r="L215" s="192" t="n"/>
      <c r="N215" s="193">
        <f>IF(L215="",$B$4,L215)</f>
        <v>46328</v>
      </c>
    </row>
    <row r="216">
      <c r="A216" s="193" t="n"/>
      <c r="G216" s="187" t="n"/>
      <c r="H216" s="187" t="n"/>
      <c r="I216" s="187" t="n"/>
      <c r="J216" s="187" t="n"/>
      <c r="L216" s="192" t="n"/>
      <c r="N216" s="193">
        <f>IF(L216="",$B$4,L216)</f>
        <v>46328</v>
      </c>
    </row>
    <row r="217">
      <c r="A217" s="193" t="n"/>
      <c r="G217" s="187" t="n"/>
      <c r="H217" s="187" t="n"/>
      <c r="I217" s="187" t="n"/>
      <c r="J217" s="187" t="n"/>
      <c r="L217" s="192" t="n"/>
      <c r="N217" s="193">
        <f>IF(L217="",$B$4,L217)</f>
        <v>46328</v>
      </c>
    </row>
    <row r="218">
      <c r="A218" s="193" t="n"/>
      <c r="G218" s="187" t="n"/>
      <c r="H218" s="187" t="n"/>
      <c r="I218" s="187" t="n"/>
      <c r="J218" s="187" t="n"/>
      <c r="L218" s="192" t="n"/>
      <c r="N218" s="193">
        <f>IF(L218="",$B$4,L218)</f>
        <v>46328</v>
      </c>
    </row>
    <row r="219">
      <c r="A219" s="193" t="n"/>
      <c r="G219" s="187" t="n"/>
      <c r="H219" s="187" t="n"/>
      <c r="I219" s="187" t="n"/>
      <c r="J219" s="187" t="n"/>
      <c r="L219" s="192" t="n"/>
      <c r="N219" s="193">
        <f>IF(L219="",$B$4,L219)</f>
        <v>46328</v>
      </c>
    </row>
    <row r="220">
      <c r="A220" s="193" t="n"/>
      <c r="G220" s="187" t="n"/>
      <c r="H220" s="187" t="n"/>
      <c r="I220" s="187" t="n"/>
      <c r="J220" s="187" t="n"/>
      <c r="L220" s="192" t="n"/>
      <c r="N220" s="193">
        <f>IF(L220="",$B$4,L220)</f>
        <v>46328</v>
      </c>
    </row>
    <row r="221">
      <c r="A221" s="193" t="n"/>
      <c r="G221" s="187" t="n"/>
      <c r="H221" s="187" t="n"/>
      <c r="I221" s="187" t="n"/>
      <c r="J221" s="187" t="n"/>
      <c r="L221" s="192" t="n"/>
      <c r="N221" s="193">
        <f>IF(L221="",$B$4,L221)</f>
        <v>46328</v>
      </c>
    </row>
    <row r="222">
      <c r="A222" s="193" t="n"/>
      <c r="G222" s="187" t="n"/>
      <c r="H222" s="187" t="n"/>
      <c r="I222" s="187" t="n"/>
      <c r="J222" s="187" t="n"/>
      <c r="L222" s="192" t="n"/>
      <c r="N222" s="193">
        <f>IF(L222="",$B$4,L222)</f>
        <v>46328</v>
      </c>
    </row>
    <row r="223">
      <c r="A223" s="193" t="n"/>
      <c r="G223" s="187" t="n"/>
      <c r="H223" s="187" t="n"/>
      <c r="I223" s="187" t="n"/>
      <c r="J223" s="187" t="n"/>
      <c r="L223" s="192" t="n"/>
      <c r="N223" s="193">
        <f>IF(L223="",$B$4,L223)</f>
        <v>46328</v>
      </c>
    </row>
    <row r="224">
      <c r="A224" s="193" t="n"/>
      <c r="G224" s="187" t="n"/>
      <c r="H224" s="187" t="n"/>
      <c r="I224" s="187" t="n"/>
      <c r="J224" s="187" t="n"/>
      <c r="L224" s="192" t="n"/>
      <c r="N224" s="193">
        <f>IF(L224="",$B$4,L224)</f>
        <v>46328</v>
      </c>
    </row>
    <row r="225">
      <c r="A225" s="193" t="n"/>
      <c r="G225" s="187" t="n"/>
      <c r="H225" s="187" t="n"/>
      <c r="I225" s="187" t="n"/>
      <c r="J225" s="187" t="n"/>
      <c r="L225" s="192" t="n"/>
      <c r="N225" s="193">
        <f>IF(L225="",$B$4,L225)</f>
        <v>46328</v>
      </c>
    </row>
    <row r="226">
      <c r="A226" s="193" t="n"/>
      <c r="G226" s="187" t="n"/>
      <c r="H226" s="187" t="n"/>
      <c r="I226" s="187" t="n"/>
      <c r="J226" s="187" t="n"/>
      <c r="L226" s="192" t="n"/>
      <c r="N226" s="193">
        <f>IF(L226="",$B$4,L226)</f>
        <v>46328</v>
      </c>
    </row>
    <row r="227">
      <c r="A227" s="193" t="n"/>
      <c r="G227" s="187" t="n"/>
      <c r="H227" s="187" t="n"/>
      <c r="I227" s="187" t="n"/>
      <c r="J227" s="187" t="n"/>
      <c r="L227" s="192" t="n"/>
      <c r="N227" s="193">
        <f>IF(L227="",$B$4,L227)</f>
        <v>46328</v>
      </c>
    </row>
    <row r="228">
      <c r="A228" s="193" t="n"/>
      <c r="G228" s="187" t="n"/>
      <c r="H228" s="187" t="n"/>
      <c r="I228" s="187" t="n"/>
      <c r="J228" s="187" t="n"/>
      <c r="L228" s="192" t="n"/>
      <c r="N228" s="193">
        <f>IF(L228="",$B$4,L228)</f>
        <v>46328</v>
      </c>
    </row>
    <row r="229">
      <c r="A229" s="193" t="n"/>
      <c r="G229" s="187" t="n"/>
      <c r="H229" s="187" t="n"/>
      <c r="I229" s="187" t="n"/>
      <c r="J229" s="187" t="n"/>
      <c r="L229" s="192" t="n"/>
      <c r="N229" s="193">
        <f>IF(L229="",$B$4,L229)</f>
        <v>46328</v>
      </c>
    </row>
    <row r="230">
      <c r="A230" s="193" t="n"/>
      <c r="G230" s="187" t="n"/>
      <c r="H230" s="187" t="n"/>
      <c r="I230" s="187" t="n"/>
      <c r="J230" s="187" t="n"/>
      <c r="L230" s="192" t="n"/>
      <c r="N230" s="193">
        <f>IF(L230="",$B$4,L230)</f>
        <v>46328</v>
      </c>
    </row>
    <row r="231">
      <c r="A231" s="193" t="n"/>
      <c r="G231" s="187" t="n"/>
      <c r="H231" s="187" t="n"/>
      <c r="I231" s="187" t="n"/>
      <c r="J231" s="187" t="n"/>
      <c r="L231" s="192" t="n"/>
      <c r="N231" s="193">
        <f>IF(L231="",$B$4,L231)</f>
        <v>46328</v>
      </c>
    </row>
    <row r="232">
      <c r="A232" s="193" t="n"/>
      <c r="G232" s="187" t="n"/>
      <c r="H232" s="187" t="n"/>
      <c r="I232" s="187" t="n"/>
      <c r="J232" s="187" t="n"/>
      <c r="L232" s="192" t="n"/>
      <c r="N232" s="193">
        <f>IF(L232="",$B$4,L232)</f>
        <v>46328</v>
      </c>
    </row>
    <row r="233">
      <c r="A233" s="193" t="n"/>
      <c r="G233" s="187" t="n"/>
      <c r="H233" s="187" t="n"/>
      <c r="I233" s="187" t="n"/>
      <c r="J233" s="187" t="n"/>
      <c r="L233" s="192" t="n"/>
      <c r="N233" s="193">
        <f>IF(L233="",$B$4,L233)</f>
        <v>46328</v>
      </c>
    </row>
    <row r="234">
      <c r="A234" s="193" t="n"/>
      <c r="G234" s="187" t="n"/>
      <c r="H234" s="187" t="n"/>
      <c r="I234" s="187" t="n"/>
      <c r="J234" s="187" t="n"/>
      <c r="L234" s="192" t="n"/>
      <c r="N234" s="193">
        <f>IF(L234="",$B$4,L234)</f>
        <v>46328</v>
      </c>
    </row>
    <row r="235">
      <c r="A235" s="193" t="n"/>
      <c r="G235" s="187" t="n"/>
      <c r="H235" s="187" t="n"/>
      <c r="I235" s="187" t="n"/>
      <c r="J235" s="187" t="n"/>
      <c r="L235" s="192" t="n"/>
      <c r="N235" s="193">
        <f>IF(L235="",$B$4,L235)</f>
        <v>46328</v>
      </c>
    </row>
    <row r="236">
      <c r="A236" s="193" t="n"/>
      <c r="G236" s="187" t="n"/>
      <c r="H236" s="187" t="n"/>
      <c r="I236" s="187" t="n"/>
      <c r="J236" s="187" t="n"/>
      <c r="L236" s="192" t="n"/>
      <c r="N236" s="193">
        <f>IF(L236="",$B$4,L236)</f>
        <v>46328</v>
      </c>
    </row>
    <row r="237">
      <c r="A237" s="193" t="n"/>
      <c r="G237" s="187" t="n"/>
      <c r="H237" s="187" t="n"/>
      <c r="I237" s="187" t="n"/>
      <c r="J237" s="187" t="n"/>
      <c r="L237" s="192" t="n"/>
      <c r="N237" s="193">
        <f>IF(L237="",$B$4,L237)</f>
        <v>46328</v>
      </c>
    </row>
    <row r="238">
      <c r="A238" s="193" t="n"/>
      <c r="G238" s="187" t="n"/>
      <c r="H238" s="187" t="n"/>
      <c r="I238" s="187" t="n"/>
      <c r="J238" s="187" t="n"/>
      <c r="L238" s="192" t="n"/>
      <c r="N238" s="193">
        <f>IF(L238="",$B$4,L238)</f>
        <v>46328</v>
      </c>
    </row>
    <row r="239">
      <c r="A239" s="193" t="n"/>
      <c r="G239" s="187" t="n"/>
      <c r="H239" s="187" t="n"/>
      <c r="I239" s="187" t="n"/>
      <c r="J239" s="187" t="n"/>
      <c r="L239" s="192" t="n"/>
      <c r="N239" s="193">
        <f>IF(L239="",$B$4,L239)</f>
        <v>46328</v>
      </c>
    </row>
    <row r="240">
      <c r="A240" s="193" t="n"/>
      <c r="G240" s="187" t="n"/>
      <c r="H240" s="187" t="n"/>
      <c r="I240" s="187" t="n"/>
      <c r="J240" s="187" t="n"/>
      <c r="L240" s="192" t="n"/>
      <c r="N240" s="193">
        <f>IF(L240="",$B$4,L240)</f>
        <v>46328</v>
      </c>
    </row>
    <row r="241">
      <c r="A241" s="193" t="n"/>
      <c r="G241" s="187" t="n"/>
      <c r="H241" s="187" t="n"/>
      <c r="I241" s="187" t="n"/>
      <c r="J241" s="187" t="n"/>
      <c r="L241" s="192" t="n"/>
      <c r="N241" s="193">
        <f>IF(L241="",$B$4,L241)</f>
        <v>46328</v>
      </c>
    </row>
    <row r="242">
      <c r="A242" s="193" t="n"/>
      <c r="G242" s="187" t="n"/>
      <c r="H242" s="187" t="n"/>
      <c r="I242" s="187" t="n"/>
      <c r="J242" s="187" t="n"/>
      <c r="L242" s="192" t="n"/>
      <c r="N242" s="193">
        <f>IF(L242="",$B$4,L242)</f>
        <v>46328</v>
      </c>
    </row>
    <row r="243">
      <c r="A243" s="193" t="n"/>
      <c r="G243" s="187" t="n"/>
      <c r="H243" s="187" t="n"/>
      <c r="I243" s="187" t="n"/>
      <c r="J243" s="187" t="n"/>
      <c r="L243" s="192" t="n"/>
      <c r="N243" s="193">
        <f>IF(L243="",$B$4,L243)</f>
        <v>46328</v>
      </c>
    </row>
    <row r="244">
      <c r="A244" s="193" t="n"/>
      <c r="G244" s="187" t="n"/>
      <c r="H244" s="187" t="n"/>
      <c r="I244" s="187" t="n"/>
      <c r="J244" s="187" t="n"/>
      <c r="L244" s="192" t="n"/>
      <c r="N244" s="193">
        <f>IF(L244="",$B$4,L244)</f>
        <v>46328</v>
      </c>
    </row>
    <row r="245">
      <c r="A245" s="193" t="n"/>
      <c r="G245" s="187" t="n"/>
      <c r="H245" s="187" t="n"/>
      <c r="I245" s="187" t="n"/>
      <c r="J245" s="187" t="n"/>
      <c r="L245" s="192" t="n"/>
      <c r="N245" s="193">
        <f>IF(L245="",$B$4,L245)</f>
        <v>46328</v>
      </c>
    </row>
    <row r="246">
      <c r="A246" s="193" t="n"/>
      <c r="G246" s="187" t="n"/>
      <c r="H246" s="187" t="n"/>
      <c r="I246" s="187" t="n"/>
      <c r="J246" s="187" t="n"/>
      <c r="L246" s="192" t="n"/>
      <c r="N246" s="193">
        <f>IF(L246="",$B$4,L246)</f>
        <v>46328</v>
      </c>
    </row>
    <row r="247">
      <c r="A247" s="193" t="n"/>
      <c r="G247" s="187" t="n"/>
      <c r="H247" s="187" t="n"/>
      <c r="I247" s="187" t="n"/>
      <c r="J247" s="187" t="n"/>
      <c r="L247" s="192" t="n"/>
      <c r="N247" s="193">
        <f>IF(L247="",$B$4,L247)</f>
        <v>46328</v>
      </c>
    </row>
    <row r="248">
      <c r="A248" s="193" t="n"/>
      <c r="G248" s="187" t="n"/>
      <c r="H248" s="187" t="n"/>
      <c r="I248" s="187" t="n"/>
      <c r="J248" s="187" t="n"/>
      <c r="L248" s="192" t="n"/>
      <c r="N248" s="193">
        <f>IF(L248="",$B$4,L248)</f>
        <v>46328</v>
      </c>
    </row>
    <row r="249">
      <c r="A249" s="193" t="n"/>
      <c r="G249" s="187" t="n"/>
      <c r="H249" s="187" t="n"/>
      <c r="I249" s="187" t="n"/>
      <c r="J249" s="187" t="n"/>
      <c r="L249" s="192" t="n"/>
      <c r="N249" s="193">
        <f>IF(L249="",$B$4,L249)</f>
        <v>46328</v>
      </c>
    </row>
    <row r="250">
      <c r="A250" s="193" t="n"/>
      <c r="G250" s="187" t="n"/>
      <c r="H250" s="187" t="n"/>
      <c r="I250" s="187" t="n"/>
      <c r="J250" s="187" t="n"/>
      <c r="L250" s="192" t="n"/>
      <c r="N250" s="193">
        <f>IF(L250="",$B$4,L250)</f>
        <v>46328</v>
      </c>
    </row>
    <row r="251">
      <c r="A251" s="193" t="n"/>
      <c r="G251" s="187" t="n"/>
      <c r="H251" s="187" t="n"/>
      <c r="I251" s="187" t="n"/>
      <c r="J251" s="187" t="n"/>
      <c r="L251" s="192" t="n"/>
      <c r="N251" s="193">
        <f>IF(L251="",$B$4,L251)</f>
        <v>46328</v>
      </c>
    </row>
    <row r="252">
      <c r="A252" s="193" t="n"/>
      <c r="G252" s="187" t="n"/>
      <c r="H252" s="187" t="n"/>
      <c r="I252" s="187" t="n"/>
      <c r="J252" s="187" t="n"/>
      <c r="L252" s="192" t="n"/>
      <c r="N252" s="193">
        <f>IF(L252="",$B$4,L252)</f>
        <v>46328</v>
      </c>
    </row>
    <row r="253">
      <c r="A253" s="193" t="n"/>
      <c r="G253" s="187" t="n"/>
      <c r="H253" s="187" t="n"/>
      <c r="I253" s="187" t="n"/>
      <c r="J253" s="187" t="n"/>
      <c r="L253" s="192" t="n"/>
      <c r="N253" s="193">
        <f>IF(L253="",$B$4,L253)</f>
        <v>46328</v>
      </c>
    </row>
    <row r="254">
      <c r="A254" s="193" t="n"/>
      <c r="G254" s="187" t="n"/>
      <c r="H254" s="187" t="n"/>
      <c r="I254" s="187" t="n"/>
      <c r="J254" s="187" t="n"/>
      <c r="L254" s="192" t="n"/>
      <c r="N254" s="193">
        <f>IF(L254="",$B$4,L254)</f>
        <v>46328</v>
      </c>
    </row>
    <row r="255">
      <c r="A255" s="193" t="n"/>
      <c r="G255" s="187" t="n"/>
      <c r="H255" s="187" t="n"/>
      <c r="I255" s="187" t="n"/>
      <c r="J255" s="187" t="n"/>
      <c r="L255" s="192" t="n"/>
      <c r="N255" s="193">
        <f>IF(L255="",$B$4,L255)</f>
        <v>46328</v>
      </c>
    </row>
    <row r="256">
      <c r="A256" s="193" t="n"/>
      <c r="G256" s="187" t="n"/>
      <c r="H256" s="187" t="n"/>
      <c r="I256" s="187" t="n"/>
      <c r="J256" s="187" t="n"/>
      <c r="L256" s="192" t="n"/>
      <c r="N256" s="193">
        <f>IF(L256="",$B$4,L256)</f>
        <v>46328</v>
      </c>
    </row>
    <row r="257">
      <c r="A257" s="193" t="n"/>
      <c r="G257" s="187" t="n"/>
      <c r="H257" s="187" t="n"/>
      <c r="I257" s="187" t="n"/>
      <c r="J257" s="187" t="n"/>
      <c r="L257" s="192" t="n"/>
      <c r="N257" s="193">
        <f>IF(L257="",$B$4,L257)</f>
        <v>46328</v>
      </c>
    </row>
    <row r="258">
      <c r="A258" s="193" t="n"/>
      <c r="G258" s="187" t="n"/>
      <c r="H258" s="187" t="n"/>
      <c r="I258" s="187" t="n"/>
      <c r="J258" s="187" t="n"/>
      <c r="L258" s="192" t="n"/>
      <c r="N258" s="193">
        <f>IF(L258="",$B$4,L258)</f>
        <v>46328</v>
      </c>
    </row>
    <row r="259">
      <c r="A259" s="193" t="n"/>
      <c r="G259" s="187" t="n"/>
      <c r="H259" s="187" t="n"/>
      <c r="I259" s="187" t="n"/>
      <c r="J259" s="187" t="n"/>
      <c r="L259" s="192" t="n"/>
      <c r="N259" s="193">
        <f>IF(L259="",$B$4,L259)</f>
        <v>46328</v>
      </c>
    </row>
    <row r="260">
      <c r="A260" s="193" t="n"/>
      <c r="G260" s="187" t="n"/>
      <c r="H260" s="187" t="n"/>
      <c r="I260" s="187" t="n"/>
      <c r="J260" s="187" t="n"/>
      <c r="L260" s="192" t="n"/>
      <c r="N260" s="193">
        <f>IF(L260="",$B$4,L260)</f>
        <v>46328</v>
      </c>
    </row>
    <row r="261">
      <c r="A261" s="193" t="n"/>
      <c r="G261" s="187" t="n"/>
      <c r="H261" s="187" t="n"/>
      <c r="I261" s="187" t="n"/>
      <c r="J261" s="187" t="n"/>
      <c r="L261" s="192" t="n"/>
      <c r="N261" s="193">
        <f>IF(L261="",$B$4,L261)</f>
        <v>46328</v>
      </c>
    </row>
    <row r="262">
      <c r="A262" s="193" t="n"/>
      <c r="G262" s="187" t="n"/>
      <c r="H262" s="187" t="n"/>
      <c r="I262" s="187" t="n"/>
      <c r="J262" s="187" t="n"/>
      <c r="L262" s="192" t="n"/>
      <c r="N262" s="193">
        <f>IF(L262="",$B$4,L262)</f>
        <v>46328</v>
      </c>
    </row>
    <row r="263">
      <c r="A263" s="193" t="n"/>
      <c r="G263" s="187" t="n"/>
      <c r="H263" s="187" t="n"/>
      <c r="I263" s="187" t="n"/>
      <c r="J263" s="187" t="n"/>
      <c r="L263" s="192" t="n"/>
      <c r="N263" s="193">
        <f>IF(L263="",$B$4,L263)</f>
        <v>46328</v>
      </c>
    </row>
    <row r="264">
      <c r="A264" s="193" t="n"/>
      <c r="G264" s="187" t="n"/>
      <c r="H264" s="187" t="n"/>
      <c r="I264" s="187" t="n"/>
      <c r="J264" s="187" t="n"/>
      <c r="L264" s="192" t="n"/>
      <c r="N264" s="193">
        <f>IF(L264="",$B$4,L264)</f>
        <v>46328</v>
      </c>
    </row>
    <row r="265">
      <c r="A265" s="193" t="n"/>
      <c r="G265" s="187" t="n"/>
      <c r="H265" s="187" t="n"/>
      <c r="I265" s="187" t="n"/>
      <c r="J265" s="187" t="n"/>
      <c r="L265" s="192" t="n"/>
      <c r="N265" s="193">
        <f>IF(L265="",$B$4,L265)</f>
        <v>46328</v>
      </c>
    </row>
    <row r="266">
      <c r="A266" s="193" t="n"/>
      <c r="G266" s="187" t="n"/>
      <c r="H266" s="187" t="n"/>
      <c r="I266" s="187" t="n"/>
      <c r="J266" s="187" t="n"/>
      <c r="L266" s="192" t="n"/>
      <c r="N266" s="193">
        <f>IF(L266="",$B$4,L266)</f>
        <v>46328</v>
      </c>
    </row>
    <row r="267">
      <c r="A267" s="193" t="n"/>
      <c r="G267" s="187" t="n"/>
      <c r="H267" s="187" t="n"/>
      <c r="I267" s="187" t="n"/>
      <c r="J267" s="187" t="n"/>
      <c r="L267" s="192" t="n"/>
      <c r="N267" s="193">
        <f>IF(L267="",$B$4,L267)</f>
        <v>46328</v>
      </c>
    </row>
    <row r="268">
      <c r="A268" s="193" t="n"/>
      <c r="G268" s="187" t="n"/>
      <c r="H268" s="187" t="n"/>
      <c r="I268" s="187" t="n"/>
      <c r="J268" s="187" t="n"/>
      <c r="L268" s="192" t="n"/>
      <c r="N268" s="193">
        <f>IF(L268="",$B$4,L268)</f>
        <v>46328</v>
      </c>
    </row>
    <row r="269">
      <c r="A269" s="193" t="n"/>
      <c r="G269" s="187" t="n"/>
      <c r="H269" s="187" t="n"/>
      <c r="I269" s="187" t="n"/>
      <c r="J269" s="187" t="n"/>
      <c r="L269" s="192" t="n"/>
      <c r="N269" s="193">
        <f>IF(L269="",$B$4,L269)</f>
        <v>46328</v>
      </c>
    </row>
    <row r="270">
      <c r="A270" s="193" t="n"/>
      <c r="G270" s="187" t="n"/>
      <c r="H270" s="187" t="n"/>
      <c r="I270" s="187" t="n"/>
      <c r="J270" s="187" t="n"/>
      <c r="L270" s="192" t="n"/>
      <c r="N270" s="193">
        <f>IF(L270="",$B$4,L270)</f>
        <v>46328</v>
      </c>
    </row>
    <row r="271">
      <c r="A271" s="193" t="n"/>
      <c r="G271" s="187" t="n"/>
      <c r="H271" s="187" t="n"/>
      <c r="I271" s="187" t="n"/>
      <c r="J271" s="187" t="n"/>
      <c r="L271" s="192" t="n"/>
      <c r="N271" s="193">
        <f>IF(L271="",$B$4,L271)</f>
        <v>46328</v>
      </c>
    </row>
    <row r="272">
      <c r="A272" s="193" t="n"/>
      <c r="G272" s="187" t="n"/>
      <c r="H272" s="187" t="n"/>
      <c r="I272" s="187" t="n"/>
      <c r="J272" s="187" t="n"/>
      <c r="L272" s="192" t="n"/>
      <c r="N272" s="193">
        <f>IF(L272="",$B$4,L272)</f>
        <v>46328</v>
      </c>
    </row>
    <row r="273">
      <c r="A273" s="193" t="n"/>
      <c r="G273" s="187" t="n"/>
      <c r="H273" s="187" t="n"/>
      <c r="I273" s="187" t="n"/>
      <c r="J273" s="187" t="n"/>
      <c r="L273" s="192" t="n"/>
      <c r="N273" s="193">
        <f>IF(L273="",$B$4,L273)</f>
        <v>46328</v>
      </c>
    </row>
    <row r="274">
      <c r="A274" s="193" t="n"/>
      <c r="G274" s="187" t="n"/>
      <c r="H274" s="187" t="n"/>
      <c r="I274" s="187" t="n"/>
      <c r="J274" s="187" t="n"/>
      <c r="L274" s="192" t="n"/>
      <c r="N274" s="193">
        <f>IF(L274="",$B$4,L274)</f>
        <v>46328</v>
      </c>
    </row>
    <row r="275">
      <c r="A275" s="193" t="n"/>
      <c r="G275" s="187" t="n"/>
      <c r="H275" s="187" t="n"/>
      <c r="I275" s="187" t="n"/>
      <c r="J275" s="187" t="n"/>
      <c r="L275" s="192" t="n"/>
      <c r="N275" s="193">
        <f>IF(L275="",$B$4,L275)</f>
        <v>46328</v>
      </c>
    </row>
    <row r="276">
      <c r="A276" s="193" t="n"/>
      <c r="G276" s="187" t="n"/>
      <c r="H276" s="187" t="n"/>
      <c r="I276" s="187" t="n"/>
      <c r="J276" s="187" t="n"/>
      <c r="L276" s="192" t="n"/>
      <c r="N276" s="193">
        <f>IF(L276="",$B$4,L276)</f>
        <v>46328</v>
      </c>
    </row>
    <row r="277">
      <c r="A277" s="193" t="n"/>
      <c r="G277" s="187" t="n"/>
      <c r="H277" s="187" t="n"/>
      <c r="I277" s="187" t="n"/>
      <c r="J277" s="187" t="n"/>
      <c r="L277" s="192" t="n"/>
      <c r="N277" s="193">
        <f>IF(L277="",$B$4,L277)</f>
        <v>46328</v>
      </c>
    </row>
    <row r="278">
      <c r="A278" s="193" t="n"/>
      <c r="G278" s="187" t="n"/>
      <c r="H278" s="187" t="n"/>
      <c r="I278" s="187" t="n"/>
      <c r="J278" s="187" t="n"/>
      <c r="L278" s="192" t="n"/>
      <c r="N278" s="193">
        <f>IF(L278="",$B$4,L278)</f>
        <v>46328</v>
      </c>
    </row>
    <row r="279">
      <c r="A279" s="193" t="n"/>
      <c r="G279" s="187" t="n"/>
      <c r="H279" s="187" t="n"/>
      <c r="I279" s="187" t="n"/>
      <c r="J279" s="187" t="n"/>
      <c r="L279" s="192" t="n"/>
      <c r="N279" s="193">
        <f>IF(L279="",$B$4,L279)</f>
        <v>46328</v>
      </c>
    </row>
    <row r="280">
      <c r="A280" s="193" t="n"/>
      <c r="G280" s="187" t="n"/>
      <c r="H280" s="187" t="n"/>
      <c r="I280" s="187" t="n"/>
      <c r="J280" s="187" t="n"/>
      <c r="L280" s="192" t="n"/>
      <c r="N280" s="193">
        <f>IF(L280="",$B$4,L280)</f>
        <v>46328</v>
      </c>
    </row>
    <row r="281">
      <c r="A281" s="193" t="n"/>
      <c r="G281" s="187" t="n"/>
      <c r="H281" s="187" t="n"/>
      <c r="I281" s="187" t="n"/>
      <c r="J281" s="187" t="n"/>
      <c r="L281" s="192" t="n"/>
      <c r="N281" s="193">
        <f>IF(L281="",$B$4,L281)</f>
        <v>46328</v>
      </c>
    </row>
    <row r="282">
      <c r="A282" s="193" t="n"/>
      <c r="G282" s="187" t="n"/>
      <c r="H282" s="187" t="n"/>
      <c r="I282" s="187" t="n"/>
      <c r="J282" s="187" t="n"/>
      <c r="L282" s="192" t="n"/>
      <c r="N282" s="193">
        <f>IF(L282="",$B$4,L282)</f>
        <v>46328</v>
      </c>
    </row>
    <row r="283">
      <c r="A283" s="193" t="n"/>
      <c r="G283" s="187" t="n"/>
      <c r="H283" s="187" t="n"/>
      <c r="I283" s="187" t="n"/>
      <c r="J283" s="187" t="n"/>
      <c r="L283" s="192" t="n"/>
      <c r="N283" s="193">
        <f>IF(L283="",$B$4,L283)</f>
        <v>46328</v>
      </c>
    </row>
    <row r="284">
      <c r="A284" s="193" t="n"/>
      <c r="G284" s="187" t="n"/>
      <c r="H284" s="187" t="n"/>
      <c r="I284" s="187" t="n"/>
      <c r="J284" s="187" t="n"/>
      <c r="L284" s="192" t="n"/>
      <c r="N284" s="193">
        <f>IF(L284="",$B$4,L284)</f>
        <v>46328</v>
      </c>
    </row>
    <row r="285">
      <c r="A285" s="193" t="n"/>
      <c r="G285" s="187" t="n"/>
      <c r="H285" s="187" t="n"/>
      <c r="I285" s="187" t="n"/>
      <c r="J285" s="187" t="n"/>
      <c r="L285" s="192" t="n"/>
      <c r="N285" s="193">
        <f>IF(L285="",$B$4,L285)</f>
        <v>46328</v>
      </c>
    </row>
    <row r="286">
      <c r="A286" s="193" t="n"/>
      <c r="G286" s="187" t="n"/>
      <c r="H286" s="187" t="n"/>
      <c r="I286" s="187" t="n"/>
      <c r="J286" s="187" t="n"/>
      <c r="L286" s="192" t="n"/>
      <c r="N286" s="193">
        <f>IF(L286="",$B$4,L286)</f>
        <v>46328</v>
      </c>
    </row>
    <row r="287">
      <c r="A287" s="193" t="n"/>
      <c r="G287" s="187" t="n"/>
      <c r="H287" s="187" t="n"/>
      <c r="I287" s="187" t="n"/>
      <c r="J287" s="187" t="n"/>
      <c r="L287" s="192" t="n"/>
      <c r="N287" s="193">
        <f>IF(L287="",$B$4,L287)</f>
        <v>46328</v>
      </c>
    </row>
    <row r="288">
      <c r="A288" s="193" t="n"/>
      <c r="G288" s="187" t="n"/>
      <c r="H288" s="187" t="n"/>
      <c r="I288" s="187" t="n"/>
      <c r="J288" s="187" t="n"/>
      <c r="L288" s="192" t="n"/>
      <c r="N288" s="193">
        <f>IF(L288="",$B$4,L288)</f>
        <v>46328</v>
      </c>
    </row>
    <row r="289">
      <c r="A289" s="193" t="n"/>
      <c r="G289" s="187" t="n"/>
      <c r="H289" s="187" t="n"/>
      <c r="I289" s="187" t="n"/>
      <c r="J289" s="187" t="n"/>
      <c r="L289" s="192" t="n"/>
      <c r="N289" s="193">
        <f>IF(L289="",$B$4,L289)</f>
        <v>46328</v>
      </c>
    </row>
    <row r="290">
      <c r="A290" s="193" t="n"/>
      <c r="G290" s="187" t="n"/>
      <c r="H290" s="187" t="n"/>
      <c r="I290" s="187" t="n"/>
      <c r="J290" s="187" t="n"/>
      <c r="L290" s="192" t="n"/>
      <c r="N290" s="193">
        <f>IF(L290="",$B$4,L290)</f>
        <v>46328</v>
      </c>
    </row>
    <row r="291">
      <c r="A291" s="193" t="n"/>
      <c r="G291" s="187" t="n"/>
      <c r="H291" s="187" t="n"/>
      <c r="I291" s="187" t="n"/>
      <c r="J291" s="187" t="n"/>
      <c r="L291" s="192" t="n"/>
      <c r="N291" s="193">
        <f>IF(L291="",$B$4,L291)</f>
        <v>46328</v>
      </c>
    </row>
    <row r="292">
      <c r="A292" s="193" t="n"/>
      <c r="G292" s="187" t="n"/>
      <c r="H292" s="187" t="n"/>
      <c r="I292" s="187" t="n"/>
      <c r="J292" s="187" t="n"/>
      <c r="L292" s="192" t="n"/>
      <c r="N292" s="193">
        <f>IF(L292="",$B$4,L292)</f>
        <v>46328</v>
      </c>
    </row>
    <row r="293">
      <c r="A293" s="193" t="n"/>
      <c r="G293" s="187" t="n"/>
      <c r="H293" s="187" t="n"/>
      <c r="I293" s="187" t="n"/>
      <c r="J293" s="187" t="n"/>
      <c r="L293" s="192" t="n"/>
      <c r="N293" s="193">
        <f>IF(L293="",$B$4,L293)</f>
        <v>46328</v>
      </c>
    </row>
    <row r="294">
      <c r="A294" s="193" t="n"/>
      <c r="G294" s="187" t="n"/>
      <c r="H294" s="187" t="n"/>
      <c r="I294" s="187" t="n"/>
      <c r="J294" s="187" t="n"/>
      <c r="L294" s="192" t="n"/>
      <c r="N294" s="193">
        <f>IF(L294="",$B$4,L294)</f>
        <v>46328</v>
      </c>
    </row>
    <row r="295">
      <c r="A295" s="193" t="n"/>
      <c r="G295" s="187" t="n"/>
      <c r="H295" s="187" t="n"/>
      <c r="I295" s="187" t="n"/>
      <c r="J295" s="187" t="n"/>
      <c r="L295" s="192" t="n"/>
      <c r="N295" s="193">
        <f>IF(L295="",$B$4,L295)</f>
        <v>46328</v>
      </c>
    </row>
    <row r="296">
      <c r="A296" s="193" t="n"/>
      <c r="G296" s="187" t="n"/>
      <c r="H296" s="187" t="n"/>
      <c r="I296" s="187" t="n"/>
      <c r="J296" s="187" t="n"/>
      <c r="L296" s="192" t="n"/>
      <c r="N296" s="193">
        <f>IF(L296="",$B$4,L296)</f>
        <v>46328</v>
      </c>
    </row>
    <row r="297">
      <c r="A297" s="193" t="n"/>
      <c r="G297" s="187" t="n"/>
      <c r="H297" s="187" t="n"/>
      <c r="I297" s="187" t="n"/>
      <c r="J297" s="187" t="n"/>
      <c r="L297" s="192" t="n"/>
      <c r="N297" s="193">
        <f>IF(L297="",$B$4,L297)</f>
        <v>46328</v>
      </c>
    </row>
    <row r="298">
      <c r="A298" s="193" t="n"/>
      <c r="G298" s="187" t="n"/>
      <c r="H298" s="187" t="n"/>
      <c r="I298" s="187" t="n"/>
      <c r="J298" s="187" t="n"/>
      <c r="L298" s="192" t="n"/>
      <c r="N298" s="193">
        <f>IF(L298="",$B$4,L298)</f>
        <v>46328</v>
      </c>
    </row>
    <row r="299">
      <c r="A299" s="193" t="n"/>
      <c r="G299" s="187" t="n"/>
      <c r="H299" s="187" t="n"/>
      <c r="I299" s="187" t="n"/>
      <c r="J299" s="187" t="n"/>
      <c r="L299" s="192" t="n"/>
      <c r="N299" s="193">
        <f>IF(L299="",$B$4,L299)</f>
        <v>46328</v>
      </c>
    </row>
    <row r="300">
      <c r="A300" s="193" t="n"/>
      <c r="G300" s="187" t="n"/>
      <c r="H300" s="187" t="n"/>
      <c r="I300" s="187" t="n"/>
      <c r="J300" s="187" t="n"/>
      <c r="L300" s="192" t="n"/>
      <c r="N300" s="193">
        <f>IF(L300="",$B$4,L300)</f>
        <v>46328</v>
      </c>
    </row>
    <row r="301">
      <c r="A301" s="193" t="n"/>
      <c r="G301" s="187" t="n"/>
      <c r="H301" s="187" t="n"/>
      <c r="I301" s="187" t="n"/>
      <c r="J301" s="187" t="n"/>
      <c r="L301" s="192" t="n"/>
      <c r="N301" s="193">
        <f>IF(L301="",$B$4,L301)</f>
        <v>46328</v>
      </c>
    </row>
    <row r="302">
      <c r="A302" s="193" t="n"/>
      <c r="G302" s="187" t="n"/>
      <c r="H302" s="187" t="n"/>
      <c r="I302" s="187" t="n"/>
      <c r="J302" s="187" t="n"/>
      <c r="L302" s="192" t="n"/>
      <c r="N302" s="193">
        <f>IF(L302="",$B$4,L302)</f>
        <v>46328</v>
      </c>
    </row>
    <row r="303">
      <c r="A303" s="193" t="n"/>
      <c r="G303" s="187" t="n"/>
      <c r="H303" s="187" t="n"/>
      <c r="I303" s="187" t="n"/>
      <c r="J303" s="187" t="n"/>
      <c r="L303" s="192" t="n"/>
      <c r="N303" s="193">
        <f>IF(L303="",$B$4,L303)</f>
        <v>46328</v>
      </c>
    </row>
    <row r="304">
      <c r="A304" s="193" t="n"/>
      <c r="G304" s="187" t="n"/>
      <c r="H304" s="187" t="n"/>
      <c r="I304" s="187" t="n"/>
      <c r="J304" s="187" t="n"/>
      <c r="L304" s="192" t="n"/>
      <c r="N304" s="193">
        <f>IF(L304="",$B$4,L304)</f>
        <v>46328</v>
      </c>
    </row>
    <row r="305">
      <c r="A305" s="193" t="n"/>
      <c r="G305" s="187" t="n"/>
      <c r="H305" s="187" t="n"/>
      <c r="I305" s="187" t="n"/>
      <c r="J305" s="187" t="n"/>
      <c r="L305" s="192" t="n"/>
      <c r="N305" s="193">
        <f>IF(L305="",$B$4,L305)</f>
        <v>46328</v>
      </c>
    </row>
    <row r="306">
      <c r="A306" s="193" t="n"/>
      <c r="G306" s="187" t="n"/>
      <c r="H306" s="187" t="n"/>
      <c r="I306" s="187" t="n"/>
      <c r="J306" s="187" t="n"/>
      <c r="L306" s="192" t="n"/>
      <c r="N306" s="193">
        <f>IF(L306="",$B$4,L306)</f>
        <v>46328</v>
      </c>
    </row>
    <row r="307">
      <c r="A307" s="193" t="n"/>
      <c r="G307" s="187" t="n"/>
      <c r="H307" s="187" t="n"/>
      <c r="I307" s="187" t="n"/>
      <c r="J307" s="187" t="n"/>
      <c r="L307" s="192" t="n"/>
      <c r="N307" s="193">
        <f>IF(L307="",$B$4,L307)</f>
        <v>46328</v>
      </c>
    </row>
    <row r="308">
      <c r="A308" s="193" t="n"/>
      <c r="G308" s="187" t="n"/>
      <c r="H308" s="187" t="n"/>
      <c r="I308" s="187" t="n"/>
      <c r="J308" s="187" t="n"/>
      <c r="L308" s="192" t="n"/>
      <c r="N308" s="193">
        <f>IF(L308="",$B$4,L308)</f>
        <v>46328</v>
      </c>
    </row>
    <row r="309">
      <c r="A309" s="193" t="n"/>
      <c r="G309" s="187" t="n"/>
      <c r="H309" s="187" t="n"/>
      <c r="I309" s="187" t="n"/>
      <c r="J309" s="187" t="n"/>
      <c r="L309" s="192" t="n"/>
      <c r="N309" s="193">
        <f>IF(L309="",$B$4,L309)</f>
        <v>46328</v>
      </c>
    </row>
    <row r="310">
      <c r="A310" s="193" t="n"/>
      <c r="G310" s="187" t="n"/>
      <c r="H310" s="187" t="n"/>
      <c r="I310" s="187" t="n"/>
      <c r="J310" s="187" t="n"/>
      <c r="L310" s="192" t="n"/>
      <c r="N310" s="193">
        <f>IF(L310="",$B$4,L310)</f>
        <v>46328</v>
      </c>
    </row>
    <row r="311">
      <c r="A311" s="193" t="n"/>
      <c r="G311" s="187" t="n"/>
      <c r="H311" s="187" t="n"/>
      <c r="I311" s="187" t="n"/>
      <c r="J311" s="187" t="n"/>
      <c r="L311" s="192" t="n"/>
      <c r="N311" s="193">
        <f>IF(L311="",$B$4,L311)</f>
        <v>46328</v>
      </c>
    </row>
    <row r="312">
      <c r="A312" s="193" t="n"/>
      <c r="G312" s="187" t="n"/>
      <c r="H312" s="187" t="n"/>
      <c r="I312" s="187" t="n"/>
      <c r="J312" s="187" t="n"/>
      <c r="L312" s="192" t="n"/>
      <c r="N312" s="193">
        <f>IF(L312="",$B$4,L312)</f>
        <v>46328</v>
      </c>
    </row>
    <row r="313">
      <c r="A313" s="193" t="n"/>
      <c r="G313" s="187" t="n"/>
      <c r="H313" s="187" t="n"/>
      <c r="I313" s="187" t="n"/>
      <c r="J313" s="187" t="n"/>
      <c r="L313" s="192" t="n"/>
      <c r="N313" s="193">
        <f>IF(L313="",$B$4,L313)</f>
        <v>46328</v>
      </c>
    </row>
    <row r="314">
      <c r="A314" s="193" t="n"/>
      <c r="G314" s="187" t="n"/>
      <c r="H314" s="187" t="n"/>
      <c r="I314" s="187" t="n"/>
      <c r="J314" s="187" t="n"/>
      <c r="L314" s="192" t="n"/>
      <c r="N314" s="193">
        <f>IF(L314="",$B$4,L314)</f>
        <v>46328</v>
      </c>
    </row>
    <row r="315">
      <c r="A315" s="193" t="n"/>
      <c r="G315" s="187" t="n"/>
      <c r="H315" s="187" t="n"/>
      <c r="I315" s="187" t="n"/>
      <c r="J315" s="187" t="n"/>
      <c r="L315" s="192" t="n"/>
      <c r="N315" s="193">
        <f>IF(L315="",$B$4,L315)</f>
        <v>46328</v>
      </c>
    </row>
    <row r="316">
      <c r="A316" s="193" t="n"/>
      <c r="G316" s="187" t="n"/>
      <c r="H316" s="187" t="n"/>
      <c r="I316" s="187" t="n"/>
      <c r="J316" s="187" t="n"/>
      <c r="L316" s="192" t="n"/>
      <c r="N316" s="193">
        <f>IF(L316="",$B$4,L316)</f>
        <v>46328</v>
      </c>
    </row>
    <row r="317">
      <c r="A317" s="193" t="n"/>
      <c r="G317" s="187" t="n"/>
      <c r="H317" s="187" t="n"/>
      <c r="I317" s="187" t="n"/>
      <c r="J317" s="187" t="n"/>
      <c r="L317" s="192" t="n"/>
      <c r="N317" s="193">
        <f>IF(L317="",$B$4,L317)</f>
        <v>46328</v>
      </c>
    </row>
    <row r="318">
      <c r="A318" s="193" t="n"/>
      <c r="G318" s="187" t="n"/>
      <c r="H318" s="187" t="n"/>
      <c r="I318" s="187" t="n"/>
      <c r="J318" s="187" t="n"/>
      <c r="L318" s="192" t="n"/>
      <c r="N318" s="193">
        <f>IF(L318="",$B$4,L318)</f>
        <v>46328</v>
      </c>
    </row>
    <row r="319">
      <c r="A319" s="193" t="n"/>
      <c r="G319" s="187" t="n"/>
      <c r="H319" s="187" t="n"/>
      <c r="I319" s="187" t="n"/>
      <c r="J319" s="187" t="n"/>
      <c r="L319" s="192" t="n"/>
      <c r="N319" s="193">
        <f>IF(L319="",$B$4,L319)</f>
        <v>46328</v>
      </c>
    </row>
    <row r="320">
      <c r="A320" s="193" t="n"/>
      <c r="G320" s="187" t="n"/>
      <c r="H320" s="187" t="n"/>
      <c r="I320" s="187" t="n"/>
      <c r="J320" s="187" t="n"/>
      <c r="L320" s="192" t="n"/>
      <c r="N320" s="193">
        <f>IF(L320="",$B$4,L320)</f>
        <v>46328</v>
      </c>
    </row>
    <row r="321">
      <c r="A321" s="193" t="n"/>
      <c r="G321" s="187" t="n"/>
      <c r="H321" s="187" t="n"/>
      <c r="I321" s="187" t="n"/>
      <c r="J321" s="187" t="n"/>
      <c r="L321" s="192" t="n"/>
      <c r="N321" s="193">
        <f>IF(L321="",$B$4,L321)</f>
        <v>46328</v>
      </c>
    </row>
    <row r="322">
      <c r="A322" s="193" t="n"/>
      <c r="G322" s="187" t="n"/>
      <c r="H322" s="187" t="n"/>
      <c r="I322" s="187" t="n"/>
      <c r="J322" s="187" t="n"/>
      <c r="L322" s="192" t="n"/>
      <c r="N322" s="193">
        <f>IF(L322="",$B$4,L322)</f>
        <v>46328</v>
      </c>
    </row>
    <row r="323">
      <c r="A323" s="193" t="n"/>
      <c r="G323" s="187" t="n"/>
      <c r="H323" s="187" t="n"/>
      <c r="I323" s="187" t="n"/>
      <c r="J323" s="187" t="n"/>
      <c r="L323" s="192" t="n"/>
      <c r="N323" s="193">
        <f>IF(L323="",$B$4,L323)</f>
        <v>46328</v>
      </c>
    </row>
    <row r="324">
      <c r="A324" s="193" t="n"/>
      <c r="G324" s="187" t="n"/>
      <c r="H324" s="187" t="n"/>
      <c r="I324" s="187" t="n"/>
      <c r="J324" s="187" t="n"/>
      <c r="L324" s="192" t="n"/>
      <c r="N324" s="193">
        <f>IF(L324="",$B$4,L324)</f>
        <v>46328</v>
      </c>
    </row>
    <row r="325">
      <c r="A325" s="193" t="n"/>
      <c r="G325" s="187" t="n"/>
      <c r="H325" s="187" t="n"/>
      <c r="I325" s="187" t="n"/>
      <c r="J325" s="187" t="n"/>
      <c r="L325" s="192" t="n"/>
      <c r="N325" s="193">
        <f>IF(L325="",$B$4,L325)</f>
        <v>46328</v>
      </c>
    </row>
    <row r="326">
      <c r="A326" s="193" t="n"/>
      <c r="G326" s="187" t="n"/>
      <c r="H326" s="187" t="n"/>
      <c r="I326" s="187" t="n"/>
      <c r="J326" s="187" t="n"/>
      <c r="L326" s="192" t="n"/>
      <c r="N326" s="193">
        <f>IF(L326="",$B$4,L326)</f>
        <v>46328</v>
      </c>
    </row>
    <row r="327">
      <c r="A327" s="193" t="n"/>
      <c r="G327" s="187" t="n"/>
      <c r="H327" s="187" t="n"/>
      <c r="I327" s="187" t="n"/>
      <c r="J327" s="187" t="n"/>
      <c r="L327" s="192" t="n"/>
      <c r="N327" s="193">
        <f>IF(L327="",$B$4,L327)</f>
        <v>46328</v>
      </c>
    </row>
    <row r="328">
      <c r="A328" s="193" t="n"/>
      <c r="G328" s="187" t="n"/>
      <c r="H328" s="187" t="n"/>
      <c r="I328" s="187" t="n"/>
      <c r="J328" s="187" t="n"/>
      <c r="L328" s="192" t="n"/>
      <c r="N328" s="193">
        <f>IF(L328="",$B$4,L328)</f>
        <v>46328</v>
      </c>
    </row>
    <row r="329">
      <c r="A329" s="193" t="n"/>
      <c r="G329" s="187" t="n"/>
      <c r="H329" s="187" t="n"/>
      <c r="I329" s="187" t="n"/>
      <c r="J329" s="187" t="n"/>
      <c r="L329" s="192" t="n"/>
      <c r="N329" s="193">
        <f>IF(L329="",$B$4,L329)</f>
        <v>46328</v>
      </c>
    </row>
    <row r="330">
      <c r="A330" s="193" t="n"/>
      <c r="G330" s="187" t="n"/>
      <c r="H330" s="187" t="n"/>
      <c r="I330" s="187" t="n"/>
      <c r="J330" s="187" t="n"/>
      <c r="L330" s="192" t="n"/>
      <c r="N330" s="193">
        <f>IF(L330="",$B$4,L330)</f>
        <v>46328</v>
      </c>
    </row>
    <row r="331">
      <c r="A331" s="193" t="n"/>
      <c r="G331" s="187" t="n"/>
      <c r="H331" s="187" t="n"/>
      <c r="I331" s="187" t="n"/>
      <c r="J331" s="187" t="n"/>
      <c r="L331" s="192" t="n"/>
      <c r="N331" s="193">
        <f>IF(L331="",$B$4,L331)</f>
        <v>46328</v>
      </c>
    </row>
    <row r="332">
      <c r="A332" s="193" t="n"/>
      <c r="G332" s="187" t="n"/>
      <c r="H332" s="187" t="n"/>
      <c r="I332" s="187" t="n"/>
      <c r="J332" s="187" t="n"/>
      <c r="L332" s="192" t="n"/>
      <c r="N332" s="193">
        <f>IF(L332="",$B$4,L332)</f>
        <v>46328</v>
      </c>
    </row>
    <row r="333">
      <c r="A333" s="193" t="n"/>
      <c r="G333" s="187" t="n"/>
      <c r="H333" s="187" t="n"/>
      <c r="I333" s="187" t="n"/>
      <c r="J333" s="187" t="n"/>
      <c r="L333" s="192" t="n"/>
      <c r="N333" s="193">
        <f>IF(L333="",$B$4,L333)</f>
        <v>46328</v>
      </c>
    </row>
    <row r="334">
      <c r="A334" s="193" t="n"/>
      <c r="G334" s="187" t="n"/>
      <c r="H334" s="187" t="n"/>
      <c r="I334" s="187" t="n"/>
      <c r="J334" s="187" t="n"/>
      <c r="L334" s="192" t="n"/>
      <c r="N334" s="193">
        <f>IF(L334="",$B$4,L334)</f>
        <v>46328</v>
      </c>
    </row>
    <row r="335">
      <c r="A335" s="193" t="n"/>
      <c r="G335" s="187" t="n"/>
      <c r="H335" s="187" t="n"/>
      <c r="I335" s="187" t="n"/>
      <c r="J335" s="187" t="n"/>
      <c r="L335" s="192" t="n"/>
      <c r="N335" s="193">
        <f>IF(L335="",$B$4,L335)</f>
        <v>46328</v>
      </c>
    </row>
    <row r="336">
      <c r="A336" s="193" t="n"/>
      <c r="G336" s="187" t="n"/>
      <c r="H336" s="187" t="n"/>
      <c r="I336" s="187" t="n"/>
      <c r="J336" s="187" t="n"/>
      <c r="L336" s="192" t="n"/>
      <c r="N336" s="193">
        <f>IF(L336="",$B$4,L336)</f>
        <v>46328</v>
      </c>
    </row>
    <row r="337">
      <c r="A337" s="193" t="n"/>
      <c r="G337" s="187" t="n"/>
      <c r="H337" s="187" t="n"/>
      <c r="I337" s="187" t="n"/>
      <c r="J337" s="187" t="n"/>
      <c r="L337" s="192" t="n"/>
      <c r="N337" s="193">
        <f>IF(L337="",$B$4,L337)</f>
        <v>46328</v>
      </c>
    </row>
    <row r="338">
      <c r="A338" s="193" t="n"/>
      <c r="G338" s="187" t="n"/>
      <c r="H338" s="187" t="n"/>
      <c r="I338" s="187" t="n"/>
      <c r="J338" s="187" t="n"/>
      <c r="L338" s="192" t="n"/>
      <c r="N338" s="193">
        <f>IF(L338="",$B$4,L338)</f>
        <v>46328</v>
      </c>
    </row>
    <row r="339">
      <c r="A339" s="193" t="n"/>
      <c r="G339" s="187" t="n"/>
      <c r="H339" s="187" t="n"/>
      <c r="I339" s="187" t="n"/>
      <c r="J339" s="187" t="n"/>
      <c r="L339" s="192" t="n"/>
      <c r="N339" s="193">
        <f>IF(L339="",$B$4,L339)</f>
        <v>46328</v>
      </c>
    </row>
    <row r="340">
      <c r="A340" s="193" t="n"/>
      <c r="G340" s="187" t="n"/>
      <c r="H340" s="187" t="n"/>
      <c r="I340" s="187" t="n"/>
      <c r="J340" s="187" t="n"/>
      <c r="L340" s="192" t="n"/>
      <c r="N340" s="193">
        <f>IF(L340="",$B$4,L340)</f>
        <v>46328</v>
      </c>
    </row>
    <row r="341">
      <c r="A341" s="193" t="n"/>
      <c r="G341" s="187" t="n"/>
      <c r="H341" s="187" t="n"/>
      <c r="I341" s="187" t="n"/>
      <c r="J341" s="187" t="n"/>
      <c r="L341" s="192" t="n"/>
      <c r="N341" s="193">
        <f>IF(L341="",$B$4,L341)</f>
        <v>46328</v>
      </c>
    </row>
    <row r="342">
      <c r="A342" s="193" t="n"/>
      <c r="G342" s="187" t="n"/>
      <c r="H342" s="187" t="n"/>
      <c r="I342" s="187" t="n"/>
      <c r="J342" s="187" t="n"/>
      <c r="L342" s="192" t="n"/>
      <c r="N342" s="193">
        <f>IF(L342="",$B$4,L342)</f>
        <v>46328</v>
      </c>
    </row>
    <row r="343">
      <c r="A343" s="193" t="n"/>
      <c r="G343" s="187" t="n"/>
      <c r="H343" s="187" t="n"/>
      <c r="I343" s="187" t="n"/>
      <c r="J343" s="187" t="n"/>
      <c r="L343" s="192" t="n"/>
      <c r="N343" s="193">
        <f>IF(L343="",$B$4,L343)</f>
        <v>46328</v>
      </c>
    </row>
    <row r="344">
      <c r="A344" s="193" t="n"/>
      <c r="G344" s="187" t="n"/>
      <c r="H344" s="187" t="n"/>
      <c r="I344" s="187" t="n"/>
      <c r="J344" s="187" t="n"/>
      <c r="L344" s="192" t="n"/>
      <c r="N344" s="193">
        <f>IF(L344="",$B$4,L344)</f>
        <v>46328</v>
      </c>
    </row>
    <row r="345">
      <c r="A345" s="193" t="n"/>
      <c r="G345" s="187" t="n"/>
      <c r="H345" s="187" t="n"/>
      <c r="I345" s="187" t="n"/>
      <c r="J345" s="187" t="n"/>
      <c r="L345" s="192" t="n"/>
      <c r="N345" s="193">
        <f>IF(L345="",$B$4,L345)</f>
        <v>46328</v>
      </c>
    </row>
    <row r="346">
      <c r="A346" s="193" t="n"/>
      <c r="G346" s="187" t="n"/>
      <c r="H346" s="187" t="n"/>
      <c r="I346" s="187" t="n"/>
      <c r="J346" s="187" t="n"/>
      <c r="L346" s="192" t="n"/>
      <c r="N346" s="193">
        <f>IF(L346="",$B$4,L346)</f>
        <v>46328</v>
      </c>
    </row>
    <row r="347">
      <c r="A347" s="193" t="n"/>
      <c r="G347" s="187" t="n"/>
      <c r="H347" s="187" t="n"/>
      <c r="I347" s="187" t="n"/>
      <c r="J347" s="187" t="n"/>
      <c r="L347" s="192" t="n"/>
      <c r="N347" s="193">
        <f>IF(L347="",$B$4,L347)</f>
        <v>46328</v>
      </c>
    </row>
    <row r="348">
      <c r="A348" s="193" t="n"/>
      <c r="G348" s="187" t="n"/>
      <c r="H348" s="187" t="n"/>
      <c r="I348" s="187" t="n"/>
      <c r="J348" s="187" t="n"/>
      <c r="L348" s="192" t="n"/>
      <c r="N348" s="193">
        <f>IF(L348="",$B$4,L348)</f>
        <v>46328</v>
      </c>
    </row>
    <row r="349">
      <c r="A349" s="193" t="n"/>
      <c r="G349" s="187" t="n"/>
      <c r="H349" s="187" t="n"/>
      <c r="I349" s="187" t="n"/>
      <c r="J349" s="187" t="n"/>
      <c r="L349" s="192" t="n"/>
      <c r="N349" s="193">
        <f>IF(L349="",$B$4,L349)</f>
        <v>46328</v>
      </c>
    </row>
    <row r="350">
      <c r="A350" s="193" t="n"/>
      <c r="G350" s="187" t="n"/>
      <c r="H350" s="187" t="n"/>
      <c r="I350" s="187" t="n"/>
      <c r="J350" s="187" t="n"/>
      <c r="L350" s="192" t="n"/>
      <c r="N350" s="193">
        <f>IF(L350="",$B$4,L350)</f>
        <v>46328</v>
      </c>
    </row>
    <row r="351">
      <c r="A351" s="193" t="n"/>
      <c r="G351" s="187" t="n"/>
      <c r="H351" s="187" t="n"/>
      <c r="I351" s="187" t="n"/>
      <c r="J351" s="187" t="n"/>
      <c r="L351" s="192" t="n"/>
      <c r="N351" s="193">
        <f>IF(L351="",$B$4,L351)</f>
        <v>46328</v>
      </c>
    </row>
    <row r="352">
      <c r="A352" s="193" t="n"/>
      <c r="G352" s="187" t="n"/>
      <c r="H352" s="187" t="n"/>
      <c r="I352" s="187" t="n"/>
      <c r="J352" s="187" t="n"/>
      <c r="L352" s="192" t="n"/>
      <c r="N352" s="193">
        <f>IF(L352="",$B$4,L352)</f>
        <v>46328</v>
      </c>
    </row>
    <row r="353">
      <c r="A353" s="193" t="n"/>
      <c r="G353" s="187" t="n"/>
      <c r="H353" s="187" t="n"/>
      <c r="I353" s="187" t="n"/>
      <c r="J353" s="187" t="n"/>
      <c r="L353" s="192" t="n"/>
      <c r="N353" s="193">
        <f>IF(L353="",$B$4,L353)</f>
        <v>46328</v>
      </c>
    </row>
    <row r="354">
      <c r="A354" s="193" t="n"/>
      <c r="G354" s="187" t="n"/>
      <c r="H354" s="187" t="n"/>
      <c r="I354" s="187" t="n"/>
      <c r="J354" s="187" t="n"/>
      <c r="L354" s="192" t="n"/>
      <c r="N354" s="193">
        <f>IF(L354="",$B$4,L354)</f>
        <v>46328</v>
      </c>
    </row>
    <row r="355">
      <c r="A355" s="193" t="n"/>
      <c r="G355" s="187" t="n"/>
      <c r="H355" s="187" t="n"/>
      <c r="I355" s="187" t="n"/>
      <c r="J355" s="187" t="n"/>
      <c r="L355" s="192" t="n"/>
      <c r="N355" s="193">
        <f>IF(L355="",$B$4,L355)</f>
        <v>46328</v>
      </c>
    </row>
    <row r="356">
      <c r="A356" s="193" t="n"/>
      <c r="G356" s="187" t="n"/>
      <c r="H356" s="187" t="n"/>
      <c r="I356" s="187" t="n"/>
      <c r="J356" s="187" t="n"/>
      <c r="L356" s="192" t="n"/>
      <c r="N356" s="193">
        <f>IF(L356="",$B$4,L356)</f>
        <v>46328</v>
      </c>
    </row>
    <row r="357">
      <c r="A357" s="193" t="n"/>
      <c r="G357" s="187" t="n"/>
      <c r="H357" s="187" t="n"/>
      <c r="I357" s="187" t="n"/>
      <c r="J357" s="187" t="n"/>
      <c r="L357" s="192" t="n"/>
      <c r="N357" s="193">
        <f>IF(L357="",$B$4,L357)</f>
        <v>46328</v>
      </c>
    </row>
    <row r="358">
      <c r="A358" s="193" t="n"/>
      <c r="G358" s="187" t="n"/>
      <c r="H358" s="187" t="n"/>
      <c r="I358" s="187" t="n"/>
      <c r="J358" s="187" t="n"/>
      <c r="L358" s="192" t="n"/>
      <c r="N358" s="193">
        <f>IF(L358="",$B$4,L358)</f>
        <v>46328</v>
      </c>
    </row>
    <row r="359">
      <c r="A359" s="193" t="n"/>
      <c r="G359" s="187" t="n"/>
      <c r="H359" s="187" t="n"/>
      <c r="I359" s="187" t="n"/>
      <c r="J359" s="187" t="n"/>
      <c r="L359" s="192" t="n"/>
      <c r="N359" s="193">
        <f>IF(L359="",$B$4,L359)</f>
        <v>46328</v>
      </c>
    </row>
    <row r="360">
      <c r="A360" s="193" t="n"/>
      <c r="G360" s="187" t="n"/>
      <c r="H360" s="187" t="n"/>
      <c r="I360" s="187" t="n"/>
      <c r="J360" s="187" t="n"/>
      <c r="L360" s="192" t="n"/>
      <c r="N360" s="193">
        <f>IF(L360="",$B$4,L360)</f>
        <v>46328</v>
      </c>
    </row>
    <row r="361">
      <c r="A361" s="193" t="n"/>
      <c r="G361" s="187" t="n"/>
      <c r="H361" s="187" t="n"/>
      <c r="I361" s="187" t="n"/>
      <c r="J361" s="187" t="n"/>
      <c r="L361" s="192" t="n"/>
      <c r="N361" s="193">
        <f>IF(L361="",$B$4,L361)</f>
        <v>46328</v>
      </c>
    </row>
    <row r="362">
      <c r="A362" s="193" t="n"/>
      <c r="G362" s="187" t="n"/>
      <c r="H362" s="187" t="n"/>
      <c r="I362" s="187" t="n"/>
      <c r="J362" s="187" t="n"/>
      <c r="L362" s="192" t="n"/>
      <c r="N362" s="193">
        <f>IF(L362="",$B$4,L362)</f>
        <v>46328</v>
      </c>
    </row>
    <row r="363">
      <c r="A363" s="193" t="n"/>
      <c r="G363" s="187" t="n"/>
      <c r="H363" s="187" t="n"/>
      <c r="I363" s="187" t="n"/>
      <c r="J363" s="187" t="n"/>
      <c r="L363" s="192" t="n"/>
      <c r="N363" s="193">
        <f>IF(L363="",$B$4,L363)</f>
        <v>46328</v>
      </c>
    </row>
    <row r="364">
      <c r="A364" s="193" t="n"/>
      <c r="G364" s="187" t="n"/>
      <c r="H364" s="187" t="n"/>
      <c r="I364" s="187" t="n"/>
      <c r="J364" s="187" t="n"/>
      <c r="L364" s="192" t="n"/>
      <c r="N364" s="193">
        <f>IF(L364="",$B$4,L364)</f>
        <v>46328</v>
      </c>
    </row>
    <row r="365">
      <c r="A365" s="193" t="n"/>
      <c r="G365" s="187" t="n"/>
      <c r="H365" s="187" t="n"/>
      <c r="I365" s="187" t="n"/>
      <c r="J365" s="187" t="n"/>
      <c r="L365" s="192" t="n"/>
      <c r="N365" s="193">
        <f>IF(L365="",$B$4,L365)</f>
        <v>46328</v>
      </c>
    </row>
    <row r="366">
      <c r="A366" s="193" t="n"/>
      <c r="G366" s="187" t="n"/>
      <c r="H366" s="187" t="n"/>
      <c r="I366" s="187" t="n"/>
      <c r="J366" s="187" t="n"/>
      <c r="L366" s="192" t="n"/>
      <c r="N366" s="193">
        <f>IF(L366="",$B$4,L366)</f>
        <v>46328</v>
      </c>
    </row>
    <row r="367">
      <c r="A367" s="193" t="n"/>
      <c r="G367" s="187" t="n"/>
      <c r="H367" s="187" t="n"/>
      <c r="I367" s="187" t="n"/>
      <c r="J367" s="187" t="n"/>
      <c r="L367" s="192" t="n"/>
      <c r="N367" s="193">
        <f>IF(L367="",$B$4,L367)</f>
        <v>46328</v>
      </c>
    </row>
    <row r="368">
      <c r="A368" s="193" t="n"/>
      <c r="G368" s="187" t="n"/>
      <c r="H368" s="187" t="n"/>
      <c r="I368" s="187" t="n"/>
      <c r="J368" s="187" t="n"/>
      <c r="L368" s="192" t="n"/>
      <c r="N368" s="193">
        <f>IF(L368="",$B$4,L368)</f>
        <v>46328</v>
      </c>
    </row>
    <row r="369">
      <c r="A369" s="193" t="n"/>
      <c r="G369" s="187" t="n"/>
      <c r="H369" s="187" t="n"/>
      <c r="I369" s="187" t="n"/>
      <c r="J369" s="187" t="n"/>
      <c r="L369" s="192" t="n"/>
      <c r="N369" s="193">
        <f>IF(L369="",$B$4,L369)</f>
        <v>46328</v>
      </c>
    </row>
    <row r="370">
      <c r="A370" s="193" t="n"/>
      <c r="G370" s="187" t="n"/>
      <c r="H370" s="187" t="n"/>
      <c r="I370" s="187" t="n"/>
      <c r="J370" s="187" t="n"/>
      <c r="L370" s="192" t="n"/>
      <c r="N370" s="193">
        <f>IF(L370="",$B$4,L370)</f>
        <v>46328</v>
      </c>
    </row>
    <row r="371">
      <c r="A371" s="193" t="n"/>
      <c r="G371" s="187" t="n"/>
      <c r="H371" s="187" t="n"/>
      <c r="I371" s="187" t="n"/>
      <c r="J371" s="187" t="n"/>
      <c r="L371" s="192" t="n"/>
      <c r="N371" s="193">
        <f>IF(L371="",$B$4,L371)</f>
        <v>46328</v>
      </c>
    </row>
    <row r="372">
      <c r="A372" s="193" t="n"/>
      <c r="G372" s="187" t="n"/>
      <c r="H372" s="187" t="n"/>
      <c r="I372" s="187" t="n"/>
      <c r="J372" s="187" t="n"/>
      <c r="L372" s="192" t="n"/>
      <c r="N372" s="193">
        <f>IF(L372="",$B$4,L372)</f>
        <v>46328</v>
      </c>
    </row>
    <row r="373">
      <c r="A373" s="193" t="n"/>
      <c r="G373" s="187" t="n"/>
      <c r="H373" s="187" t="n"/>
      <c r="I373" s="187" t="n"/>
      <c r="J373" s="187" t="n"/>
      <c r="L373" s="192" t="n"/>
      <c r="N373" s="193">
        <f>IF(L373="",$B$4,L373)</f>
        <v>46328</v>
      </c>
    </row>
    <row r="374">
      <c r="A374" s="193" t="n"/>
      <c r="G374" s="187" t="n"/>
      <c r="H374" s="187" t="n"/>
      <c r="I374" s="187" t="n"/>
      <c r="J374" s="187" t="n"/>
      <c r="L374" s="192" t="n"/>
      <c r="N374" s="193">
        <f>IF(L374="",$B$4,L374)</f>
        <v>46328</v>
      </c>
    </row>
    <row r="375">
      <c r="A375" s="193" t="n"/>
      <c r="G375" s="187" t="n"/>
      <c r="H375" s="187" t="n"/>
      <c r="I375" s="187" t="n"/>
      <c r="J375" s="187" t="n"/>
      <c r="L375" s="192" t="n"/>
      <c r="N375" s="193">
        <f>IF(L375="",$B$4,L375)</f>
        <v>46328</v>
      </c>
    </row>
    <row r="376">
      <c r="A376" s="193" t="n"/>
      <c r="G376" s="187" t="n"/>
      <c r="H376" s="187" t="n"/>
      <c r="I376" s="187" t="n"/>
      <c r="J376" s="187" t="n"/>
      <c r="L376" s="192" t="n"/>
      <c r="N376" s="193">
        <f>IF(L376="",$B$4,L376)</f>
        <v>46328</v>
      </c>
    </row>
    <row r="377">
      <c r="A377" s="193" t="n"/>
      <c r="G377" s="187" t="n"/>
      <c r="H377" s="187" t="n"/>
      <c r="I377" s="187" t="n"/>
      <c r="J377" s="187" t="n"/>
      <c r="L377" s="192" t="n"/>
      <c r="N377" s="193">
        <f>IF(L377="",$B$4,L377)</f>
        <v>46328</v>
      </c>
    </row>
    <row r="378">
      <c r="A378" s="193" t="n"/>
      <c r="G378" s="187" t="n"/>
      <c r="H378" s="187" t="n"/>
      <c r="I378" s="187" t="n"/>
      <c r="J378" s="187" t="n"/>
      <c r="L378" s="192" t="n"/>
      <c r="N378" s="193">
        <f>IF(L378="",$B$4,L378)</f>
        <v>46328</v>
      </c>
    </row>
    <row r="379">
      <c r="A379" s="193" t="n"/>
      <c r="G379" s="187" t="n"/>
      <c r="H379" s="187" t="n"/>
      <c r="I379" s="187" t="n"/>
      <c r="J379" s="187" t="n"/>
      <c r="L379" s="192" t="n"/>
      <c r="N379" s="193">
        <f>IF(L379="",$B$4,L379)</f>
        <v>46328</v>
      </c>
    </row>
    <row r="380">
      <c r="A380" s="193" t="n"/>
      <c r="G380" s="187" t="n"/>
      <c r="H380" s="187" t="n"/>
      <c r="I380" s="187" t="n"/>
      <c r="J380" s="187" t="n"/>
      <c r="L380" s="192" t="n"/>
      <c r="N380" s="193">
        <f>IF(L380="",$B$4,L380)</f>
        <v>46328</v>
      </c>
    </row>
    <row r="381">
      <c r="A381" s="193" t="n"/>
      <c r="G381" s="187" t="n"/>
      <c r="H381" s="187" t="n"/>
      <c r="I381" s="187" t="n"/>
      <c r="J381" s="187" t="n"/>
      <c r="L381" s="192" t="n"/>
      <c r="N381" s="193">
        <f>IF(L381="",$B$4,L381)</f>
        <v>46328</v>
      </c>
    </row>
    <row r="382">
      <c r="A382" s="193" t="n"/>
      <c r="G382" s="187" t="n"/>
      <c r="H382" s="187" t="n"/>
      <c r="I382" s="187" t="n"/>
      <c r="J382" s="187" t="n"/>
      <c r="L382" s="192" t="n"/>
      <c r="N382" s="193">
        <f>IF(L382="",$B$4,L382)</f>
        <v>46328</v>
      </c>
    </row>
    <row r="383">
      <c r="A383" s="193" t="n"/>
      <c r="G383" s="187" t="n"/>
      <c r="H383" s="187" t="n"/>
      <c r="I383" s="187" t="n"/>
      <c r="J383" s="187" t="n"/>
      <c r="L383" s="192" t="n"/>
      <c r="N383" s="193">
        <f>IF(L383="",$B$4,L383)</f>
        <v>46328</v>
      </c>
    </row>
    <row r="384">
      <c r="A384" s="193" t="n"/>
      <c r="G384" s="187" t="n"/>
      <c r="H384" s="187" t="n"/>
      <c r="I384" s="187" t="n"/>
      <c r="J384" s="187" t="n"/>
      <c r="L384" s="192" t="n"/>
      <c r="N384" s="193">
        <f>IF(L384="",$B$4,L384)</f>
        <v>46328</v>
      </c>
    </row>
    <row r="385">
      <c r="A385" s="193" t="n"/>
      <c r="G385" s="187" t="n"/>
      <c r="H385" s="187" t="n"/>
      <c r="I385" s="187" t="n"/>
      <c r="J385" s="187" t="n"/>
      <c r="L385" s="192" t="n"/>
      <c r="N385" s="193">
        <f>IF(L385="",$B$4,L385)</f>
        <v>46328</v>
      </c>
    </row>
    <row r="386">
      <c r="A386" s="193" t="n"/>
      <c r="G386" s="187" t="n"/>
      <c r="H386" s="187" t="n"/>
      <c r="I386" s="187" t="n"/>
      <c r="J386" s="187" t="n"/>
      <c r="L386" s="192" t="n"/>
      <c r="N386" s="193">
        <f>IF(L386="",$B$4,L386)</f>
        <v>46328</v>
      </c>
    </row>
    <row r="387">
      <c r="A387" s="193" t="n"/>
      <c r="G387" s="187" t="n"/>
      <c r="H387" s="187" t="n"/>
      <c r="I387" s="187" t="n"/>
      <c r="J387" s="187" t="n"/>
      <c r="L387" s="192" t="n"/>
      <c r="N387" s="193">
        <f>IF(L387="",$B$4,L387)</f>
        <v>46328</v>
      </c>
    </row>
    <row r="388">
      <c r="A388" s="193" t="n"/>
      <c r="G388" s="187" t="n"/>
      <c r="H388" s="187" t="n"/>
      <c r="I388" s="187" t="n"/>
      <c r="J388" s="187" t="n"/>
      <c r="L388" s="192" t="n"/>
      <c r="N388" s="193">
        <f>IF(L388="",$B$4,L388)</f>
        <v>46328</v>
      </c>
    </row>
    <row r="389">
      <c r="A389" s="193" t="n"/>
      <c r="G389" s="187" t="n"/>
      <c r="H389" s="187" t="n"/>
      <c r="I389" s="187" t="n"/>
      <c r="J389" s="187" t="n"/>
      <c r="L389" s="192" t="n"/>
      <c r="N389" s="193">
        <f>IF(L389="",$B$4,L389)</f>
        <v>46328</v>
      </c>
    </row>
    <row r="390">
      <c r="A390" s="193" t="n"/>
      <c r="G390" s="187" t="n"/>
      <c r="H390" s="187" t="n"/>
      <c r="I390" s="187" t="n"/>
      <c r="J390" s="187" t="n"/>
      <c r="L390" s="192" t="n"/>
      <c r="N390" s="193">
        <f>IF(L390="",$B$4,L390)</f>
        <v>46328</v>
      </c>
    </row>
    <row r="391">
      <c r="A391" s="193" t="n"/>
      <c r="G391" s="187" t="n"/>
      <c r="H391" s="187" t="n"/>
      <c r="I391" s="187" t="n"/>
      <c r="J391" s="187" t="n"/>
      <c r="L391" s="192" t="n"/>
      <c r="N391" s="193">
        <f>IF(L391="",$B$4,L391)</f>
        <v>46328</v>
      </c>
    </row>
    <row r="392">
      <c r="A392" s="193" t="n"/>
      <c r="G392" s="187" t="n"/>
      <c r="H392" s="187" t="n"/>
      <c r="I392" s="187" t="n"/>
      <c r="J392" s="187" t="n"/>
      <c r="L392" s="192" t="n"/>
      <c r="N392" s="193">
        <f>IF(L392="",$B$4,L392)</f>
        <v>46328</v>
      </c>
    </row>
    <row r="393">
      <c r="A393" s="193" t="n"/>
      <c r="G393" s="187" t="n"/>
      <c r="H393" s="187" t="n"/>
      <c r="I393" s="187" t="n"/>
      <c r="J393" s="187" t="n"/>
      <c r="L393" s="192" t="n"/>
      <c r="N393" s="193">
        <f>IF(L393="",$B$4,L393)</f>
        <v>46328</v>
      </c>
    </row>
    <row r="394">
      <c r="A394" s="193" t="n"/>
      <c r="G394" s="187" t="n"/>
      <c r="H394" s="187" t="n"/>
      <c r="I394" s="187" t="n"/>
      <c r="J394" s="187" t="n"/>
      <c r="L394" s="192" t="n"/>
      <c r="N394" s="193">
        <f>IF(L394="",$B$4,L394)</f>
        <v>46328</v>
      </c>
    </row>
    <row r="395">
      <c r="A395" s="193" t="n"/>
      <c r="G395" s="187" t="n"/>
      <c r="H395" s="187" t="n"/>
      <c r="I395" s="187" t="n"/>
      <c r="J395" s="187" t="n"/>
      <c r="L395" s="192" t="n"/>
      <c r="N395" s="193">
        <f>IF(L395="",$B$4,L395)</f>
        <v>46328</v>
      </c>
    </row>
    <row r="396">
      <c r="A396" s="193" t="n"/>
      <c r="G396" s="187" t="n"/>
      <c r="H396" s="187" t="n"/>
      <c r="I396" s="187" t="n"/>
      <c r="J396" s="187" t="n"/>
      <c r="L396" s="192" t="n"/>
      <c r="N396" s="193">
        <f>IF(L396="",$B$4,L396)</f>
        <v>46328</v>
      </c>
    </row>
    <row r="397">
      <c r="A397" s="193" t="n"/>
      <c r="G397" s="187" t="n"/>
      <c r="H397" s="187" t="n"/>
      <c r="I397" s="187" t="n"/>
      <c r="J397" s="187" t="n"/>
      <c r="L397" s="192" t="n"/>
      <c r="N397" s="193">
        <f>IF(L397="",$B$4,L397)</f>
        <v>46328</v>
      </c>
    </row>
    <row r="398">
      <c r="A398" s="193" t="n"/>
      <c r="G398" s="187" t="n"/>
      <c r="H398" s="187" t="n"/>
      <c r="I398" s="187" t="n"/>
      <c r="J398" s="187" t="n"/>
      <c r="L398" s="192" t="n"/>
      <c r="N398" s="193">
        <f>IF(L398="",$B$4,L398)</f>
        <v>46328</v>
      </c>
    </row>
    <row r="399">
      <c r="A399" s="193" t="n"/>
      <c r="G399" s="187" t="n"/>
      <c r="H399" s="187" t="n"/>
      <c r="I399" s="187" t="n"/>
      <c r="J399" s="187" t="n"/>
      <c r="L399" s="192" t="n"/>
      <c r="N399" s="193">
        <f>IF(L399="",$B$4,L399)</f>
        <v>46328</v>
      </c>
    </row>
    <row r="400">
      <c r="A400" s="193" t="n"/>
      <c r="G400" s="187" t="n"/>
      <c r="H400" s="187" t="n"/>
      <c r="I400" s="187" t="n"/>
      <c r="J400" s="187" t="n"/>
      <c r="L400" s="192" t="n"/>
      <c r="N400" s="193">
        <f>IF(L400="",$B$4,L400)</f>
        <v>46328</v>
      </c>
    </row>
    <row r="401">
      <c r="A401" s="193" t="n"/>
      <c r="G401" s="187" t="n"/>
      <c r="H401" s="187" t="n"/>
      <c r="I401" s="187" t="n"/>
      <c r="J401" s="187" t="n"/>
      <c r="L401" s="192" t="n"/>
      <c r="N401" s="193">
        <f>IF(L401="",$B$4,L401)</f>
        <v>46328</v>
      </c>
    </row>
    <row r="402">
      <c r="A402" s="193" t="n"/>
      <c r="G402" s="187" t="n"/>
      <c r="H402" s="187" t="n"/>
      <c r="I402" s="187" t="n"/>
      <c r="J402" s="187" t="n"/>
      <c r="L402" s="192" t="n"/>
      <c r="N402" s="193">
        <f>IF(L402="",$B$4,L402)</f>
        <v>46328</v>
      </c>
    </row>
    <row r="403">
      <c r="A403" s="193" t="n"/>
      <c r="G403" s="187" t="n"/>
      <c r="H403" s="187" t="n"/>
      <c r="I403" s="187" t="n"/>
      <c r="J403" s="187" t="n"/>
      <c r="L403" s="192" t="n"/>
      <c r="N403" s="193">
        <f>IF(L403="",$B$4,L403)</f>
        <v>46328</v>
      </c>
    </row>
    <row r="404">
      <c r="A404" s="193" t="n"/>
      <c r="G404" s="187" t="n"/>
      <c r="H404" s="187" t="n"/>
      <c r="I404" s="187" t="n"/>
      <c r="J404" s="187" t="n"/>
      <c r="L404" s="192" t="n"/>
      <c r="N404" s="193">
        <f>IF(L404="",$B$4,L404)</f>
        <v>46328</v>
      </c>
    </row>
    <row r="405">
      <c r="A405" s="193" t="n"/>
      <c r="G405" s="187" t="n"/>
      <c r="H405" s="187" t="n"/>
      <c r="I405" s="187" t="n"/>
      <c r="J405" s="187" t="n"/>
      <c r="L405" s="192" t="n"/>
      <c r="N405" s="193">
        <f>IF(L405="",$B$4,L405)</f>
        <v>46328</v>
      </c>
    </row>
    <row r="406">
      <c r="A406" s="193" t="n"/>
      <c r="G406" s="187" t="n"/>
      <c r="H406" s="187" t="n"/>
      <c r="I406" s="187" t="n"/>
      <c r="J406" s="187" t="n"/>
      <c r="L406" s="192" t="n"/>
      <c r="N406" s="193">
        <f>IF(L406="",$B$4,L406)</f>
        <v>46328</v>
      </c>
    </row>
    <row r="407">
      <c r="A407" s="193" t="n"/>
      <c r="G407" s="187" t="n"/>
      <c r="H407" s="187" t="n"/>
      <c r="I407" s="187" t="n"/>
      <c r="J407" s="187" t="n"/>
      <c r="L407" s="192" t="n"/>
      <c r="N407" s="193">
        <f>IF(L407="",$B$4,L407)</f>
        <v>46328</v>
      </c>
    </row>
    <row r="408">
      <c r="A408" s="193" t="n"/>
      <c r="G408" s="187" t="n"/>
      <c r="H408" s="187" t="n"/>
      <c r="I408" s="187" t="n"/>
      <c r="J408" s="187" t="n"/>
      <c r="L408" s="192" t="n"/>
      <c r="N408" s="193">
        <f>IF(L408="",$B$4,L408)</f>
        <v>46328</v>
      </c>
    </row>
    <row r="409">
      <c r="A409" s="193" t="n"/>
      <c r="G409" s="187" t="n"/>
      <c r="H409" s="187" t="n"/>
      <c r="I409" s="187" t="n"/>
      <c r="J409" s="187" t="n"/>
      <c r="L409" s="192" t="n"/>
      <c r="N409" s="193">
        <f>IF(L409="",$B$4,L409)</f>
        <v>46328</v>
      </c>
    </row>
    <row r="410">
      <c r="A410" s="193" t="n"/>
      <c r="G410" s="187" t="n"/>
      <c r="H410" s="187" t="n"/>
      <c r="I410" s="187" t="n"/>
      <c r="J410" s="187" t="n"/>
      <c r="L410" s="192" t="n"/>
      <c r="N410" s="193">
        <f>IF(L410="",$B$4,L410)</f>
        <v>46328</v>
      </c>
    </row>
    <row r="411">
      <c r="A411" s="193" t="n"/>
      <c r="G411" s="187" t="n"/>
      <c r="H411" s="187" t="n"/>
      <c r="I411" s="187" t="n"/>
      <c r="J411" s="187" t="n"/>
      <c r="L411" s="192" t="n"/>
      <c r="N411" s="193">
        <f>IF(L411="",$B$4,L411)</f>
        <v>46328</v>
      </c>
    </row>
    <row r="412">
      <c r="A412" s="193" t="n"/>
      <c r="G412" s="187" t="n"/>
      <c r="H412" s="187" t="n"/>
      <c r="I412" s="187" t="n"/>
      <c r="J412" s="187" t="n"/>
      <c r="L412" s="192" t="n"/>
      <c r="N412" s="193">
        <f>IF(L412="",$B$4,L412)</f>
        <v>46328</v>
      </c>
    </row>
    <row r="413">
      <c r="A413" s="193" t="n"/>
      <c r="G413" s="187" t="n"/>
      <c r="H413" s="187" t="n"/>
      <c r="I413" s="187" t="n"/>
      <c r="J413" s="187" t="n"/>
      <c r="L413" s="192" t="n"/>
      <c r="N413" s="193">
        <f>IF(L413="",$B$4,L413)</f>
        <v>46328</v>
      </c>
    </row>
    <row r="414">
      <c r="A414" s="193" t="n"/>
      <c r="G414" s="187" t="n"/>
      <c r="H414" s="187" t="n"/>
      <c r="I414" s="187" t="n"/>
      <c r="J414" s="187" t="n"/>
      <c r="L414" s="192" t="n"/>
      <c r="N414" s="193">
        <f>IF(L414="",$B$4,L414)</f>
        <v>46328</v>
      </c>
    </row>
    <row r="415">
      <c r="A415" s="193" t="n"/>
      <c r="G415" s="187" t="n"/>
      <c r="H415" s="187" t="n"/>
      <c r="I415" s="187" t="n"/>
      <c r="J415" s="187" t="n"/>
      <c r="L415" s="192" t="n"/>
      <c r="N415" s="193">
        <f>IF(L415="",$B$4,L415)</f>
        <v>46328</v>
      </c>
    </row>
    <row r="416">
      <c r="A416" s="193" t="n"/>
      <c r="G416" s="187" t="n"/>
      <c r="H416" s="187" t="n"/>
      <c r="I416" s="187" t="n"/>
      <c r="J416" s="187" t="n"/>
      <c r="L416" s="192" t="n"/>
      <c r="N416" s="193">
        <f>IF(L416="",$B$4,L416)</f>
        <v>46328</v>
      </c>
    </row>
    <row r="417">
      <c r="A417" s="193" t="n"/>
      <c r="G417" s="187" t="n"/>
      <c r="H417" s="187" t="n"/>
      <c r="I417" s="187" t="n"/>
      <c r="J417" s="187" t="n"/>
      <c r="L417" s="192" t="n"/>
      <c r="N417" s="193">
        <f>IF(L417="",$B$4,L417)</f>
        <v>46328</v>
      </c>
    </row>
    <row r="418">
      <c r="A418" s="193" t="n"/>
      <c r="G418" s="187" t="n"/>
      <c r="H418" s="187" t="n"/>
      <c r="I418" s="187" t="n"/>
      <c r="J418" s="187" t="n"/>
      <c r="L418" s="192" t="n"/>
      <c r="N418" s="193">
        <f>IF(L418="",$B$4,L418)</f>
        <v>46328</v>
      </c>
    </row>
    <row r="419">
      <c r="A419" s="193" t="n"/>
      <c r="G419" s="187" t="n"/>
      <c r="H419" s="187" t="n"/>
      <c r="I419" s="187" t="n"/>
      <c r="J419" s="187" t="n"/>
      <c r="L419" s="192" t="n"/>
      <c r="N419" s="193">
        <f>IF(L419="",$B$4,L419)</f>
        <v>46328</v>
      </c>
    </row>
    <row r="420">
      <c r="A420" s="193" t="n"/>
      <c r="G420" s="187" t="n"/>
      <c r="H420" s="187" t="n"/>
      <c r="I420" s="187" t="n"/>
      <c r="J420" s="187" t="n"/>
      <c r="L420" s="192" t="n"/>
      <c r="N420" s="193">
        <f>IF(L420="",$B$4,L420)</f>
        <v>46328</v>
      </c>
    </row>
    <row r="421">
      <c r="A421" s="193" t="n"/>
      <c r="G421" s="187" t="n"/>
      <c r="H421" s="187" t="n"/>
      <c r="I421" s="187" t="n"/>
      <c r="J421" s="187" t="n"/>
      <c r="L421" s="192" t="n"/>
      <c r="N421" s="193">
        <f>IF(L421="",$B$4,L421)</f>
        <v>46328</v>
      </c>
    </row>
    <row r="422">
      <c r="A422" s="193" t="n"/>
      <c r="G422" s="187" t="n"/>
      <c r="H422" s="187" t="n"/>
      <c r="I422" s="187" t="n"/>
      <c r="J422" s="187" t="n"/>
      <c r="L422" s="192" t="n"/>
      <c r="N422" s="193">
        <f>IF(L422="",$B$4,L422)</f>
        <v>46328</v>
      </c>
    </row>
    <row r="423">
      <c r="A423" s="193" t="n"/>
      <c r="G423" s="187" t="n"/>
      <c r="H423" s="187" t="n"/>
      <c r="I423" s="187" t="n"/>
      <c r="J423" s="187" t="n"/>
      <c r="L423" s="192" t="n"/>
      <c r="N423" s="193">
        <f>IF(L423="",$B$4,L423)</f>
        <v>46328</v>
      </c>
    </row>
    <row r="424">
      <c r="A424" s="193" t="n"/>
      <c r="G424" s="187" t="n"/>
      <c r="H424" s="187" t="n"/>
      <c r="I424" s="187" t="n"/>
      <c r="J424" s="187" t="n"/>
      <c r="L424" s="192" t="n"/>
      <c r="N424" s="193">
        <f>IF(L424="",$B$4,L424)</f>
        <v>46328</v>
      </c>
    </row>
    <row r="425">
      <c r="A425" s="193" t="n"/>
      <c r="G425" s="187" t="n"/>
      <c r="H425" s="187" t="n"/>
      <c r="I425" s="187" t="n"/>
      <c r="J425" s="187" t="n"/>
      <c r="L425" s="192" t="n"/>
      <c r="N425" s="193">
        <f>IF(L425="",$B$4,L425)</f>
        <v>46328</v>
      </c>
    </row>
    <row r="426">
      <c r="A426" s="193" t="n"/>
      <c r="G426" s="187" t="n"/>
      <c r="H426" s="187" t="n"/>
      <c r="I426" s="187" t="n"/>
      <c r="J426" s="187" t="n"/>
      <c r="L426" s="192" t="n"/>
      <c r="N426" s="193">
        <f>IF(L426="",$B$4,L426)</f>
        <v>46328</v>
      </c>
    </row>
    <row r="427">
      <c r="A427" s="193" t="n"/>
      <c r="G427" s="187" t="n"/>
      <c r="H427" s="187" t="n"/>
      <c r="I427" s="187" t="n"/>
      <c r="J427" s="187" t="n"/>
      <c r="L427" s="192" t="n"/>
      <c r="N427" s="193">
        <f>IF(L427="",$B$4,L427)</f>
        <v>46328</v>
      </c>
    </row>
    <row r="428">
      <c r="A428" s="193" t="n"/>
      <c r="G428" s="187" t="n"/>
      <c r="H428" s="187" t="n"/>
      <c r="I428" s="187" t="n"/>
      <c r="J428" s="187" t="n"/>
      <c r="L428" s="192" t="n"/>
      <c r="N428" s="193">
        <f>IF(L428="",$B$4,L428)</f>
        <v>46328</v>
      </c>
    </row>
    <row r="429">
      <c r="A429" s="193" t="n"/>
      <c r="G429" s="187" t="n"/>
      <c r="H429" s="187" t="n"/>
      <c r="I429" s="187" t="n"/>
      <c r="J429" s="187" t="n"/>
      <c r="L429" s="192" t="n"/>
      <c r="N429" s="193">
        <f>IF(L429="",$B$4,L429)</f>
        <v>46328</v>
      </c>
    </row>
    <row r="430">
      <c r="A430" s="193" t="n"/>
      <c r="G430" s="187" t="n"/>
      <c r="H430" s="187" t="n"/>
      <c r="I430" s="187" t="n"/>
      <c r="J430" s="187" t="n"/>
      <c r="L430" s="192" t="n"/>
      <c r="N430" s="193">
        <f>IF(L430="",$B$4,L430)</f>
        <v>46328</v>
      </c>
    </row>
    <row r="431">
      <c r="A431" s="193" t="n"/>
      <c r="G431" s="187" t="n"/>
      <c r="H431" s="187" t="n"/>
      <c r="I431" s="187" t="n"/>
      <c r="J431" s="187" t="n"/>
      <c r="L431" s="192" t="n"/>
      <c r="N431" s="193">
        <f>IF(L431="",$B$4,L431)</f>
        <v>46328</v>
      </c>
    </row>
    <row r="432">
      <c r="A432" s="193" t="n"/>
      <c r="G432" s="187" t="n"/>
      <c r="H432" s="187" t="n"/>
      <c r="I432" s="187" t="n"/>
      <c r="J432" s="187" t="n"/>
      <c r="L432" s="192" t="n"/>
      <c r="N432" s="193">
        <f>IF(L432="",$B$4,L432)</f>
        <v>46328</v>
      </c>
    </row>
    <row r="433">
      <c r="A433" s="193" t="n"/>
      <c r="G433" s="187" t="n"/>
      <c r="H433" s="187" t="n"/>
      <c r="I433" s="187" t="n"/>
      <c r="J433" s="187" t="n"/>
      <c r="L433" s="192" t="n"/>
      <c r="N433" s="193">
        <f>IF(L433="",$B$4,L433)</f>
        <v>46328</v>
      </c>
    </row>
    <row r="434">
      <c r="A434" s="193" t="n"/>
      <c r="G434" s="187" t="n"/>
      <c r="H434" s="187" t="n"/>
      <c r="I434" s="187" t="n"/>
      <c r="J434" s="187" t="n"/>
      <c r="L434" s="192" t="n"/>
      <c r="N434" s="193">
        <f>IF(L434="",$B$4,L434)</f>
        <v>46328</v>
      </c>
    </row>
    <row r="435">
      <c r="A435" s="193" t="n"/>
      <c r="G435" s="187" t="n"/>
      <c r="H435" s="187" t="n"/>
      <c r="I435" s="187" t="n"/>
      <c r="J435" s="187" t="n"/>
      <c r="L435" s="192" t="n"/>
      <c r="N435" s="193">
        <f>IF(L435="",$B$4,L435)</f>
        <v>46328</v>
      </c>
    </row>
    <row r="436">
      <c r="A436" s="193" t="n"/>
      <c r="G436" s="187" t="n"/>
      <c r="H436" s="187" t="n"/>
      <c r="I436" s="187" t="n"/>
      <c r="J436" s="187" t="n"/>
      <c r="L436" s="192" t="n"/>
      <c r="N436" s="193">
        <f>IF(L436="",$B$4,L436)</f>
        <v>46328</v>
      </c>
    </row>
    <row r="437">
      <c r="A437" s="193" t="n"/>
      <c r="G437" s="187" t="n"/>
      <c r="H437" s="187" t="n"/>
      <c r="I437" s="187" t="n"/>
      <c r="J437" s="187" t="n"/>
      <c r="L437" s="192" t="n"/>
      <c r="N437" s="193">
        <f>IF(L437="",$B$4,L437)</f>
        <v>46328</v>
      </c>
    </row>
    <row r="438">
      <c r="A438" s="193" t="n"/>
      <c r="G438" s="187" t="n"/>
      <c r="H438" s="187" t="n"/>
      <c r="I438" s="187" t="n"/>
      <c r="J438" s="187" t="n"/>
      <c r="L438" s="192" t="n"/>
      <c r="N438" s="193">
        <f>IF(L438="",$B$4,L438)</f>
        <v>46328</v>
      </c>
    </row>
    <row r="439">
      <c r="A439" s="193" t="n"/>
      <c r="G439" s="187" t="n"/>
      <c r="H439" s="187" t="n"/>
      <c r="I439" s="187" t="n"/>
      <c r="J439" s="187" t="n"/>
      <c r="L439" s="192" t="n"/>
      <c r="N439" s="193">
        <f>IF(L439="",$B$4,L439)</f>
        <v>46328</v>
      </c>
    </row>
    <row r="440">
      <c r="A440" s="193" t="n"/>
      <c r="G440" s="187" t="n"/>
      <c r="H440" s="187" t="n"/>
      <c r="I440" s="187" t="n"/>
      <c r="J440" s="187" t="n"/>
      <c r="L440" s="192" t="n"/>
      <c r="N440" s="193">
        <f>IF(L440="",$B$4,L440)</f>
        <v>46328</v>
      </c>
    </row>
    <row r="441">
      <c r="A441" s="193" t="n"/>
      <c r="G441" s="187" t="n"/>
      <c r="H441" s="187" t="n"/>
      <c r="I441" s="187" t="n"/>
      <c r="J441" s="187" t="n"/>
      <c r="L441" s="192" t="n"/>
      <c r="N441" s="193">
        <f>IF(L441="",$B$4,L441)</f>
        <v>46328</v>
      </c>
    </row>
    <row r="442">
      <c r="A442" s="193" t="n"/>
      <c r="G442" s="187" t="n"/>
      <c r="H442" s="187" t="n"/>
      <c r="I442" s="187" t="n"/>
      <c r="J442" s="187" t="n"/>
      <c r="L442" s="192" t="n"/>
      <c r="N442" s="193">
        <f>IF(L442="",$B$4,L442)</f>
        <v>46328</v>
      </c>
    </row>
    <row r="443">
      <c r="A443" s="193" t="n"/>
      <c r="G443" s="187" t="n"/>
      <c r="H443" s="187" t="n"/>
      <c r="I443" s="187" t="n"/>
      <c r="J443" s="187" t="n"/>
      <c r="L443" s="192" t="n"/>
      <c r="N443" s="193">
        <f>IF(L443="",$B$4,L443)</f>
        <v>46328</v>
      </c>
    </row>
    <row r="444">
      <c r="A444" s="193" t="n"/>
      <c r="G444" s="187" t="n"/>
      <c r="H444" s="187" t="n"/>
      <c r="I444" s="187" t="n"/>
      <c r="J444" s="187" t="n"/>
      <c r="L444" s="192" t="n"/>
      <c r="N444" s="193">
        <f>IF(L444="",$B$4,L444)</f>
        <v>46328</v>
      </c>
    </row>
    <row r="445">
      <c r="A445" s="193" t="n"/>
      <c r="G445" s="187" t="n"/>
      <c r="H445" s="187" t="n"/>
      <c r="I445" s="187" t="n"/>
      <c r="J445" s="187" t="n"/>
      <c r="L445" s="192" t="n"/>
      <c r="N445" s="193">
        <f>IF(L445="",$B$4,L445)</f>
        <v>46328</v>
      </c>
    </row>
    <row r="446">
      <c r="A446" s="193" t="n"/>
      <c r="G446" s="187" t="n"/>
      <c r="H446" s="187" t="n"/>
      <c r="I446" s="187" t="n"/>
      <c r="J446" s="187" t="n"/>
      <c r="L446" s="192" t="n"/>
      <c r="N446" s="193">
        <f>IF(L446="",$B$4,L446)</f>
        <v>46328</v>
      </c>
    </row>
    <row r="447">
      <c r="A447" s="193" t="n"/>
      <c r="G447" s="187" t="n"/>
      <c r="H447" s="187" t="n"/>
      <c r="I447" s="187" t="n"/>
      <c r="J447" s="187" t="n"/>
      <c r="L447" s="192" t="n"/>
      <c r="N447" s="193">
        <f>IF(L447="",$B$4,L447)</f>
        <v>46328</v>
      </c>
    </row>
    <row r="448">
      <c r="A448" s="193" t="n"/>
      <c r="G448" s="187" t="n"/>
      <c r="H448" s="187" t="n"/>
      <c r="I448" s="187" t="n"/>
      <c r="J448" s="187" t="n"/>
      <c r="L448" s="192" t="n"/>
      <c r="N448" s="193">
        <f>IF(L448="",$B$4,L448)</f>
        <v>46328</v>
      </c>
    </row>
    <row r="449">
      <c r="A449" s="193" t="n"/>
      <c r="G449" s="187" t="n"/>
      <c r="H449" s="187" t="n"/>
      <c r="I449" s="187" t="n"/>
      <c r="J449" s="187" t="n"/>
      <c r="L449" s="192" t="n"/>
      <c r="N449" s="193">
        <f>IF(L449="",$B$4,L449)</f>
        <v>46328</v>
      </c>
    </row>
    <row r="450">
      <c r="A450" s="193" t="n"/>
      <c r="G450" s="187" t="n"/>
      <c r="H450" s="187" t="n"/>
      <c r="I450" s="187" t="n"/>
      <c r="J450" s="187" t="n"/>
      <c r="L450" s="192" t="n"/>
      <c r="N450" s="193">
        <f>IF(L450="",$B$4,L450)</f>
        <v>46328</v>
      </c>
    </row>
    <row r="451">
      <c r="A451" s="193" t="n"/>
      <c r="G451" s="187" t="n"/>
      <c r="H451" s="187" t="n"/>
      <c r="I451" s="187" t="n"/>
      <c r="J451" s="187" t="n"/>
      <c r="L451" s="192" t="n"/>
      <c r="N451" s="193">
        <f>IF(L451="",$B$4,L451)</f>
        <v>46328</v>
      </c>
    </row>
    <row r="452">
      <c r="A452" s="193" t="n"/>
      <c r="G452" s="187" t="n"/>
      <c r="H452" s="187" t="n"/>
      <c r="I452" s="187" t="n"/>
      <c r="J452" s="187" t="n"/>
      <c r="L452" s="192" t="n"/>
      <c r="N452" s="193">
        <f>IF(L452="",$B$4,L452)</f>
        <v>46328</v>
      </c>
    </row>
    <row r="453">
      <c r="A453" s="193" t="n"/>
      <c r="G453" s="187" t="n"/>
      <c r="H453" s="187" t="n"/>
      <c r="I453" s="187" t="n"/>
      <c r="J453" s="187" t="n"/>
      <c r="L453" s="192" t="n"/>
      <c r="N453" s="193">
        <f>IF(L453="",$B$4,L453)</f>
        <v>46328</v>
      </c>
    </row>
    <row r="454">
      <c r="A454" s="193" t="n"/>
      <c r="G454" s="187" t="n"/>
      <c r="H454" s="187" t="n"/>
      <c r="I454" s="187" t="n"/>
      <c r="J454" s="187" t="n"/>
      <c r="L454" s="192" t="n"/>
      <c r="N454" s="193">
        <f>IF(L454="",$B$4,L454)</f>
        <v>46328</v>
      </c>
    </row>
    <row r="455">
      <c r="A455" s="193" t="n"/>
      <c r="G455" s="187" t="n"/>
      <c r="H455" s="187" t="n"/>
      <c r="I455" s="187" t="n"/>
      <c r="J455" s="187" t="n"/>
      <c r="L455" s="192" t="n"/>
      <c r="N455" s="193">
        <f>IF(L455="",$B$4,L455)</f>
        <v>46328</v>
      </c>
    </row>
    <row r="456">
      <c r="A456" s="193" t="n"/>
      <c r="G456" s="187" t="n"/>
      <c r="H456" s="187" t="n"/>
      <c r="I456" s="187" t="n"/>
      <c r="J456" s="187" t="n"/>
      <c r="L456" s="192" t="n"/>
      <c r="N456" s="193">
        <f>IF(L456="",$B$4,L456)</f>
        <v>46328</v>
      </c>
    </row>
    <row r="457">
      <c r="A457" s="193" t="n"/>
      <c r="G457" s="187" t="n"/>
      <c r="H457" s="187" t="n"/>
      <c r="I457" s="187" t="n"/>
      <c r="J457" s="187" t="n"/>
      <c r="L457" s="192" t="n"/>
      <c r="N457" s="193">
        <f>IF(L457="",$B$4,L457)</f>
        <v>46328</v>
      </c>
    </row>
    <row r="458">
      <c r="A458" s="193" t="n"/>
      <c r="G458" s="187" t="n"/>
      <c r="H458" s="187" t="n"/>
      <c r="I458" s="187" t="n"/>
      <c r="J458" s="187" t="n"/>
      <c r="L458" s="192" t="n"/>
      <c r="N458" s="193">
        <f>IF(L458="",$B$4,L458)</f>
        <v>46328</v>
      </c>
    </row>
    <row r="459">
      <c r="A459" s="193" t="n"/>
      <c r="G459" s="187" t="n"/>
      <c r="H459" s="187" t="n"/>
      <c r="I459" s="187" t="n"/>
      <c r="J459" s="187" t="n"/>
      <c r="L459" s="192" t="n"/>
      <c r="N459" s="193">
        <f>IF(L459="",$B$4,L459)</f>
        <v>46328</v>
      </c>
    </row>
    <row r="460">
      <c r="A460" s="193" t="n"/>
      <c r="G460" s="187" t="n"/>
      <c r="H460" s="187" t="n"/>
      <c r="I460" s="187" t="n"/>
      <c r="J460" s="187" t="n"/>
      <c r="L460" s="192" t="n"/>
      <c r="N460" s="193">
        <f>IF(L460="",$B$4,L460)</f>
        <v>46328</v>
      </c>
    </row>
    <row r="461">
      <c r="A461" s="193" t="n"/>
      <c r="G461" s="187" t="n"/>
      <c r="H461" s="187" t="n"/>
      <c r="I461" s="187" t="n"/>
      <c r="J461" s="187" t="n"/>
      <c r="L461" s="192" t="n"/>
      <c r="N461" s="193">
        <f>IF(L461="",$B$4,L461)</f>
        <v>46328</v>
      </c>
    </row>
    <row r="462">
      <c r="A462" s="193" t="n"/>
      <c r="G462" s="187" t="n"/>
      <c r="H462" s="187" t="n"/>
      <c r="I462" s="187" t="n"/>
      <c r="J462" s="187" t="n"/>
      <c r="L462" s="192" t="n"/>
      <c r="N462" s="193">
        <f>IF(L462="",$B$4,L462)</f>
        <v>46328</v>
      </c>
    </row>
    <row r="463">
      <c r="A463" s="193" t="n"/>
      <c r="G463" s="187" t="n"/>
      <c r="H463" s="187" t="n"/>
      <c r="I463" s="187" t="n"/>
      <c r="J463" s="187" t="n"/>
      <c r="L463" s="192" t="n"/>
      <c r="N463" s="193">
        <f>IF(L463="",$B$4,L463)</f>
        <v>46328</v>
      </c>
    </row>
    <row r="464">
      <c r="A464" s="193" t="n"/>
      <c r="G464" s="187" t="n"/>
      <c r="H464" s="187" t="n"/>
      <c r="I464" s="187" t="n"/>
      <c r="J464" s="187" t="n"/>
      <c r="L464" s="192" t="n"/>
      <c r="N464" s="193">
        <f>IF(L464="",$B$4,L464)</f>
        <v>46328</v>
      </c>
    </row>
    <row r="465">
      <c r="A465" s="193" t="n"/>
      <c r="G465" s="187" t="n"/>
      <c r="H465" s="187" t="n"/>
      <c r="I465" s="187" t="n"/>
      <c r="J465" s="187" t="n"/>
      <c r="L465" s="192" t="n"/>
      <c r="N465" s="193">
        <f>IF(L465="",$B$4,L465)</f>
        <v>46328</v>
      </c>
    </row>
    <row r="466">
      <c r="A466" s="193" t="n"/>
      <c r="G466" s="187" t="n"/>
      <c r="H466" s="187" t="n"/>
      <c r="I466" s="187" t="n"/>
      <c r="J466" s="187" t="n"/>
      <c r="L466" s="192" t="n"/>
      <c r="N466" s="193">
        <f>IF(L466="",$B$4,L466)</f>
        <v>46328</v>
      </c>
    </row>
    <row r="467">
      <c r="A467" s="193" t="n"/>
      <c r="G467" s="187" t="n"/>
      <c r="H467" s="187" t="n"/>
      <c r="I467" s="187" t="n"/>
      <c r="J467" s="187" t="n"/>
      <c r="L467" s="192" t="n"/>
      <c r="N467" s="193">
        <f>IF(L467="",$B$4,L467)</f>
        <v>46328</v>
      </c>
    </row>
    <row r="468">
      <c r="A468" s="193" t="n"/>
      <c r="G468" s="187" t="n"/>
      <c r="H468" s="187" t="n"/>
      <c r="I468" s="187" t="n"/>
      <c r="J468" s="187" t="n"/>
      <c r="L468" s="192" t="n"/>
      <c r="N468" s="193">
        <f>IF(L468="",$B$4,L468)</f>
        <v>46328</v>
      </c>
    </row>
    <row r="469">
      <c r="A469" s="193" t="n"/>
      <c r="G469" s="187" t="n"/>
      <c r="H469" s="187" t="n"/>
      <c r="I469" s="187" t="n"/>
      <c r="J469" s="187" t="n"/>
      <c r="L469" s="192" t="n"/>
      <c r="N469" s="193">
        <f>IF(L469="",$B$4,L469)</f>
        <v>46328</v>
      </c>
    </row>
    <row r="470">
      <c r="A470" s="193" t="n"/>
      <c r="G470" s="187" t="n"/>
      <c r="H470" s="187" t="n"/>
      <c r="I470" s="187" t="n"/>
      <c r="J470" s="187" t="n"/>
      <c r="L470" s="192" t="n"/>
      <c r="N470" s="193">
        <f>IF(L470="",$B$4,L470)</f>
        <v>46328</v>
      </c>
    </row>
    <row r="471">
      <c r="A471" s="193" t="n"/>
      <c r="G471" s="187" t="n"/>
      <c r="H471" s="187" t="n"/>
      <c r="I471" s="187" t="n"/>
      <c r="J471" s="187" t="n"/>
      <c r="L471" s="192" t="n"/>
      <c r="N471" s="193">
        <f>IF(L471="",$B$4,L471)</f>
        <v>46328</v>
      </c>
    </row>
    <row r="472">
      <c r="A472" s="193" t="n"/>
      <c r="G472" s="187" t="n"/>
      <c r="H472" s="187" t="n"/>
      <c r="I472" s="187" t="n"/>
      <c r="J472" s="187" t="n"/>
      <c r="L472" s="192" t="n"/>
      <c r="N472" s="193">
        <f>IF(L472="",$B$4,L472)</f>
        <v>46328</v>
      </c>
    </row>
    <row r="473">
      <c r="A473" s="193" t="n"/>
      <c r="G473" s="187" t="n"/>
      <c r="H473" s="187" t="n"/>
      <c r="I473" s="187" t="n"/>
      <c r="J473" s="187" t="n"/>
      <c r="L473" s="192" t="n"/>
      <c r="N473" s="193">
        <f>IF(L473="",$B$4,L473)</f>
        <v>46328</v>
      </c>
    </row>
    <row r="474">
      <c r="A474" s="193" t="n"/>
      <c r="G474" s="187" t="n"/>
      <c r="H474" s="187" t="n"/>
      <c r="I474" s="187" t="n"/>
      <c r="J474" s="187" t="n"/>
      <c r="L474" s="192" t="n"/>
      <c r="N474" s="193">
        <f>IF(L474="",$B$4,L474)</f>
        <v>46328</v>
      </c>
    </row>
    <row r="475">
      <c r="A475" s="193" t="n"/>
      <c r="G475" s="187" t="n"/>
      <c r="H475" s="187" t="n"/>
      <c r="I475" s="187" t="n"/>
      <c r="J475" s="187" t="n"/>
      <c r="L475" s="192" t="n"/>
      <c r="N475" s="193">
        <f>IF(L475="",$B$4,L475)</f>
        <v>46328</v>
      </c>
    </row>
    <row r="476">
      <c r="A476" s="193" t="n"/>
      <c r="G476" s="187" t="n"/>
      <c r="H476" s="187" t="n"/>
      <c r="I476" s="187" t="n"/>
      <c r="J476" s="187" t="n"/>
      <c r="L476" s="192" t="n"/>
      <c r="N476" s="193">
        <f>IF(L476="",$B$4,L476)</f>
        <v>46328</v>
      </c>
    </row>
    <row r="477">
      <c r="A477" s="193" t="n"/>
      <c r="G477" s="187" t="n"/>
      <c r="H477" s="187" t="n"/>
      <c r="I477" s="187" t="n"/>
      <c r="J477" s="187" t="n"/>
      <c r="L477" s="192" t="n"/>
      <c r="N477" s="193">
        <f>IF(L477="",$B$4,L477)</f>
        <v>46328</v>
      </c>
    </row>
    <row r="478">
      <c r="A478" s="193" t="n"/>
      <c r="G478" s="187" t="n"/>
      <c r="H478" s="187" t="n"/>
      <c r="I478" s="187" t="n"/>
      <c r="J478" s="187" t="n"/>
      <c r="L478" s="192" t="n"/>
      <c r="N478" s="193">
        <f>IF(L478="",$B$4,L478)</f>
        <v>46328</v>
      </c>
    </row>
    <row r="479">
      <c r="A479" s="193" t="n"/>
      <c r="G479" s="187" t="n"/>
      <c r="H479" s="187" t="n"/>
      <c r="I479" s="187" t="n"/>
      <c r="J479" s="187" t="n"/>
      <c r="L479" s="192" t="n"/>
      <c r="N479" s="193">
        <f>IF(L479="",$B$4,L479)</f>
        <v>46328</v>
      </c>
    </row>
    <row r="480">
      <c r="A480" s="193" t="n"/>
      <c r="G480" s="187" t="n"/>
      <c r="H480" s="187" t="n"/>
      <c r="I480" s="187" t="n"/>
      <c r="J480" s="187" t="n"/>
      <c r="L480" s="192" t="n"/>
      <c r="N480" s="193">
        <f>IF(L480="",$B$4,L480)</f>
        <v>46328</v>
      </c>
    </row>
    <row r="481">
      <c r="A481" s="193" t="n"/>
      <c r="G481" s="187" t="n"/>
      <c r="H481" s="187" t="n"/>
      <c r="I481" s="187" t="n"/>
      <c r="J481" s="187" t="n"/>
      <c r="L481" s="192" t="n"/>
      <c r="N481" s="193">
        <f>IF(L481="",$B$4,L481)</f>
        <v>46328</v>
      </c>
    </row>
    <row r="482">
      <c r="A482" s="193" t="n"/>
      <c r="G482" s="187" t="n"/>
      <c r="H482" s="187" t="n"/>
      <c r="I482" s="187" t="n"/>
      <c r="J482" s="187" t="n"/>
      <c r="L482" s="192" t="n"/>
      <c r="N482" s="193">
        <f>IF(L482="",$B$4,L482)</f>
        <v>46328</v>
      </c>
    </row>
    <row r="483">
      <c r="A483" s="193" t="n"/>
      <c r="G483" s="187" t="n"/>
      <c r="H483" s="187" t="n"/>
      <c r="I483" s="187" t="n"/>
      <c r="J483" s="187" t="n"/>
      <c r="L483" s="192" t="n"/>
      <c r="N483" s="193">
        <f>IF(L483="",$B$4,L483)</f>
        <v>46328</v>
      </c>
    </row>
    <row r="484">
      <c r="A484" s="193" t="n"/>
      <c r="G484" s="187" t="n"/>
      <c r="H484" s="187" t="n"/>
      <c r="I484" s="187" t="n"/>
      <c r="J484" s="187" t="n"/>
      <c r="L484" s="192" t="n"/>
      <c r="N484" s="193">
        <f>IF(L484="",$B$4,L484)</f>
        <v>46328</v>
      </c>
    </row>
    <row r="485">
      <c r="A485" s="193" t="n"/>
      <c r="G485" s="187" t="n"/>
      <c r="H485" s="187" t="n"/>
      <c r="I485" s="187" t="n"/>
      <c r="J485" s="187" t="n"/>
      <c r="L485" s="192" t="n"/>
      <c r="N485" s="193">
        <f>IF(L485="",$B$4,L485)</f>
        <v>46328</v>
      </c>
    </row>
    <row r="486">
      <c r="A486" s="193" t="n"/>
      <c r="G486" s="187" t="n"/>
      <c r="H486" s="187" t="n"/>
      <c r="I486" s="187" t="n"/>
      <c r="J486" s="187" t="n"/>
      <c r="L486" s="192" t="n"/>
      <c r="N486" s="193">
        <f>IF(L486="",$B$4,L486)</f>
        <v>46328</v>
      </c>
    </row>
    <row r="487">
      <c r="A487" s="193" t="n"/>
      <c r="G487" s="187" t="n"/>
      <c r="H487" s="187" t="n"/>
      <c r="I487" s="187" t="n"/>
      <c r="J487" s="187" t="n"/>
      <c r="L487" s="192" t="n"/>
      <c r="N487" s="193">
        <f>IF(L487="",$B$4,L487)</f>
        <v>46328</v>
      </c>
    </row>
    <row r="488">
      <c r="A488" s="193" t="n"/>
      <c r="G488" s="187" t="n"/>
      <c r="H488" s="187" t="n"/>
      <c r="I488" s="187" t="n"/>
      <c r="J488" s="187" t="n"/>
      <c r="L488" s="192" t="n"/>
      <c r="N488" s="193">
        <f>IF(L488="",$B$4,L488)</f>
        <v>46328</v>
      </c>
    </row>
    <row r="489">
      <c r="A489" s="193" t="n"/>
      <c r="G489" s="187" t="n"/>
      <c r="H489" s="187" t="n"/>
      <c r="I489" s="187" t="n"/>
      <c r="J489" s="187" t="n"/>
      <c r="L489" s="192" t="n"/>
      <c r="N489" s="193">
        <f>IF(L489="",$B$4,L489)</f>
        <v>46328</v>
      </c>
    </row>
    <row r="490">
      <c r="A490" s="193" t="n"/>
      <c r="G490" s="187" t="n"/>
      <c r="H490" s="187" t="n"/>
      <c r="I490" s="187" t="n"/>
      <c r="J490" s="187" t="n"/>
      <c r="L490" s="192" t="n"/>
      <c r="N490" s="193">
        <f>IF(L490="",$B$4,L490)</f>
        <v>46328</v>
      </c>
    </row>
    <row r="491">
      <c r="A491" s="193" t="n"/>
      <c r="G491" s="187" t="n"/>
      <c r="H491" s="187" t="n"/>
      <c r="I491" s="187" t="n"/>
      <c r="J491" s="187" t="n"/>
      <c r="L491" s="192" t="n"/>
      <c r="N491" s="193">
        <f>IF(L491="",$B$4,L491)</f>
        <v>46328</v>
      </c>
    </row>
    <row r="492">
      <c r="A492" s="193" t="n"/>
      <c r="G492" s="187" t="n"/>
      <c r="H492" s="187" t="n"/>
      <c r="I492" s="187" t="n"/>
      <c r="J492" s="187" t="n"/>
      <c r="L492" s="192" t="n"/>
      <c r="N492" s="193">
        <f>IF(L492="",$B$4,L492)</f>
        <v>46328</v>
      </c>
    </row>
    <row r="493">
      <c r="A493" s="193" t="n"/>
      <c r="G493" s="187" t="n"/>
      <c r="H493" s="187" t="n"/>
      <c r="I493" s="187" t="n"/>
      <c r="J493" s="187" t="n"/>
      <c r="L493" s="192" t="n"/>
      <c r="N493" s="193">
        <f>IF(L493="",$B$4,L493)</f>
        <v>46328</v>
      </c>
    </row>
    <row r="494">
      <c r="A494" s="193" t="n"/>
      <c r="G494" s="187" t="n"/>
      <c r="H494" s="187" t="n"/>
      <c r="I494" s="187" t="n"/>
      <c r="J494" s="187" t="n"/>
      <c r="L494" s="192" t="n"/>
      <c r="N494" s="193">
        <f>IF(L494="",$B$4,L494)</f>
        <v>46328</v>
      </c>
    </row>
    <row r="495">
      <c r="A495" s="193" t="n"/>
      <c r="G495" s="187" t="n"/>
      <c r="H495" s="187" t="n"/>
      <c r="I495" s="187" t="n"/>
      <c r="J495" s="187" t="n"/>
      <c r="L495" s="192" t="n"/>
      <c r="N495" s="193">
        <f>IF(L495="",$B$4,L495)</f>
        <v>46328</v>
      </c>
    </row>
    <row r="496">
      <c r="A496" s="193" t="n"/>
      <c r="G496" s="187" t="n"/>
      <c r="H496" s="187" t="n"/>
      <c r="I496" s="187" t="n"/>
      <c r="J496" s="187" t="n"/>
      <c r="L496" s="192" t="n"/>
      <c r="N496" s="193">
        <f>IF(L496="",$B$4,L496)</f>
        <v>46328</v>
      </c>
    </row>
    <row r="497">
      <c r="A497" s="193" t="n"/>
      <c r="G497" s="187" t="n"/>
      <c r="H497" s="187" t="n"/>
      <c r="I497" s="187" t="n"/>
      <c r="J497" s="187" t="n"/>
      <c r="L497" s="192" t="n"/>
      <c r="N497" s="193">
        <f>IF(L497="",$B$4,L497)</f>
        <v>46328</v>
      </c>
    </row>
    <row r="498">
      <c r="A498" s="193" t="n"/>
      <c r="G498" s="187" t="n"/>
      <c r="H498" s="187" t="n"/>
      <c r="I498" s="187" t="n"/>
      <c r="J498" s="187" t="n"/>
      <c r="L498" s="192" t="n"/>
      <c r="N498" s="193">
        <f>IF(L498="",$B$4,L498)</f>
        <v>46328</v>
      </c>
    </row>
    <row r="499">
      <c r="A499" s="193" t="n"/>
      <c r="G499" s="187" t="n"/>
      <c r="H499" s="187" t="n"/>
      <c r="I499" s="187" t="n"/>
      <c r="J499" s="187" t="n"/>
      <c r="L499" s="192" t="n"/>
      <c r="N499" s="193">
        <f>IF(L499="",$B$4,L499)</f>
        <v>46328</v>
      </c>
    </row>
    <row r="500">
      <c r="A500" s="193" t="n"/>
      <c r="G500" s="187" t="n"/>
      <c r="H500" s="187" t="n"/>
      <c r="I500" s="187" t="n"/>
      <c r="J500" s="187" t="n"/>
      <c r="L500" s="192" t="n"/>
      <c r="N500" s="193">
        <f>IF(L500="",$B$4,L500)</f>
        <v>46328</v>
      </c>
    </row>
    <row r="501">
      <c r="A501" s="193" t="n"/>
      <c r="G501" s="187" t="n"/>
      <c r="H501" s="187" t="n"/>
      <c r="I501" s="187" t="n"/>
      <c r="J501" s="187" t="n"/>
      <c r="L501" s="192" t="n"/>
      <c r="N501" s="193">
        <f>IF(L501="",$B$4,L501)</f>
        <v>46328</v>
      </c>
    </row>
    <row r="502">
      <c r="A502" s="193" t="n"/>
      <c r="G502" s="187" t="n"/>
      <c r="H502" s="187" t="n"/>
      <c r="I502" s="187" t="n"/>
      <c r="J502" s="187" t="n"/>
      <c r="L502" s="192" t="n"/>
      <c r="N502" s="193">
        <f>IF(L502="",$B$4,L502)</f>
        <v>46328</v>
      </c>
    </row>
    <row r="503">
      <c r="A503" s="193" t="n"/>
      <c r="G503" s="187" t="n"/>
      <c r="H503" s="187" t="n"/>
      <c r="I503" s="187" t="n"/>
      <c r="J503" s="187" t="n"/>
      <c r="L503" s="192" t="n"/>
      <c r="N503" s="193">
        <f>IF(L503="",$B$4,L503)</f>
        <v>46328</v>
      </c>
    </row>
    <row r="504">
      <c r="A504" s="193" t="n"/>
      <c r="G504" s="187" t="n"/>
      <c r="H504" s="187" t="n"/>
      <c r="I504" s="187" t="n"/>
      <c r="J504" s="187" t="n"/>
      <c r="L504" s="192" t="n"/>
      <c r="N504" s="193">
        <f>IF(L504="",$B$4,L504)</f>
        <v>46328</v>
      </c>
    </row>
    <row r="505">
      <c r="A505" s="193" t="n"/>
      <c r="G505" s="187" t="n"/>
      <c r="H505" s="187" t="n"/>
      <c r="I505" s="187" t="n"/>
      <c r="J505" s="187" t="n"/>
      <c r="L505" s="192" t="n"/>
      <c r="N505" s="193">
        <f>IF(L505="",$B$4,L505)</f>
        <v>46328</v>
      </c>
    </row>
    <row r="506">
      <c r="A506" s="193" t="n"/>
      <c r="G506" s="187" t="n"/>
      <c r="H506" s="187" t="n"/>
      <c r="I506" s="187" t="n"/>
      <c r="J506" s="187" t="n"/>
      <c r="L506" s="192" t="n"/>
      <c r="N506" s="193">
        <f>IF(L506="",$B$4,L506)</f>
        <v>46328</v>
      </c>
    </row>
    <row r="507">
      <c r="A507" s="193" t="n"/>
      <c r="G507" s="187" t="n"/>
      <c r="H507" s="187" t="n"/>
      <c r="I507" s="187" t="n"/>
      <c r="J507" s="187" t="n"/>
      <c r="L507" s="192" t="n"/>
      <c r="N507" s="193">
        <f>IF(L507="",$B$4,L507)</f>
        <v>46328</v>
      </c>
    </row>
    <row r="508">
      <c r="A508" s="193" t="n"/>
      <c r="G508" s="187" t="n"/>
      <c r="H508" s="187" t="n"/>
      <c r="I508" s="187" t="n"/>
      <c r="J508" s="187" t="n"/>
      <c r="L508" s="192" t="n"/>
      <c r="N508" s="193">
        <f>IF(L508="",$B$4,L508)</f>
        <v>46328</v>
      </c>
    </row>
    <row r="509">
      <c r="A509" s="193" t="n"/>
      <c r="G509" s="187" t="n"/>
      <c r="H509" s="187" t="n"/>
      <c r="I509" s="187" t="n"/>
      <c r="J509" s="187" t="n"/>
      <c r="L509" s="192" t="n"/>
      <c r="N509" s="193">
        <f>IF(L509="",$B$4,L509)</f>
        <v>46328</v>
      </c>
    </row>
    <row r="510">
      <c r="A510" s="193" t="n"/>
      <c r="G510" s="187" t="n"/>
      <c r="H510" s="187" t="n"/>
      <c r="I510" s="187" t="n"/>
      <c r="J510" s="187" t="n"/>
      <c r="L510" s="192" t="n"/>
      <c r="N510" s="193">
        <f>IF(L510="",$B$4,L510)</f>
        <v>46328</v>
      </c>
    </row>
  </sheetData>
  <mergeCells count="1">
    <mergeCell ref="A2:N2"/>
  </mergeCells>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O62"/>
  <sheetViews>
    <sheetView showGridLines="0" topLeftCell="B1" workbookViewId="0">
      <pane ySplit="4" topLeftCell="A5" activePane="bottomLeft" state="frozen"/>
      <selection pane="bottomLeft" activeCell="O6" sqref="O6"/>
    </sheetView>
  </sheetViews>
  <sheetFormatPr baseColWidth="8" defaultRowHeight="15"/>
  <cols>
    <col width="62" customWidth="1" style="109" min="1" max="1"/>
    <col width="8" customWidth="1" style="109" min="2" max="2"/>
    <col width="14" customWidth="1" style="109" min="3" max="3"/>
    <col width="16" customWidth="1" style="109" min="4" max="4"/>
    <col width="60" customWidth="1" style="109" min="5" max="5"/>
    <col width="20.42578125" customWidth="1" style="109" min="7" max="7"/>
    <col width="42.28515625" customWidth="1" style="109" min="8" max="8"/>
    <col width="12.85546875" bestFit="1" customWidth="1" style="109" min="9" max="9"/>
    <col width="15.5703125" bestFit="1" customWidth="1" style="109" min="10" max="10"/>
    <col width="14.140625" bestFit="1" customWidth="1" style="109" min="11" max="11"/>
    <col width="12.7109375" bestFit="1" customWidth="1" style="109" min="12" max="12"/>
  </cols>
  <sheetData>
    <row r="1" ht="18" customHeight="1" s="109">
      <c r="A1" s="1" t="inlineStr">
        <is>
          <t>Complete AV Solutions - INV41565 - what we paid and when</t>
        </is>
      </c>
    </row>
    <row r="2" ht="42" customHeight="1" s="109">
      <c r="A2" s="115" t="inlineStr">
        <is>
          <t>Aware Super seminar room audio upgrade (Q-12140v1, PO-00016902). Bill total $178,119.25 inc GST, dated 1 Sep, due 26 Sep. Agreed 28 Sep (Graham / Jordan): pay the materials now, hold labour and programming until Aware sign off and we get the handover docs. Line items are straight off the bill in Xero. Update 12 Oct: the labour and programming that was held ($39,033.02) was released and paid Thu 8 Oct, so the whole bill is now paid.</t>
        </is>
      </c>
      <c r="G2" s="116" t="inlineStr">
        <is>
          <t>GC amounts Per Email received on the 29/09/2026</t>
        </is>
      </c>
    </row>
    <row r="4">
      <c r="A4" s="7" t="inlineStr">
        <is>
          <t>Line on the bill</t>
        </is>
      </c>
      <c r="B4" s="7" t="inlineStr">
        <is>
          <t>Qty</t>
        </is>
      </c>
      <c r="C4" s="7" t="inlineStr">
        <is>
          <t>Unit (ex GST)</t>
        </is>
      </c>
      <c r="D4" s="7" t="inlineStr">
        <is>
          <t>Amount (ex GST)</t>
        </is>
      </c>
      <c r="E4" s="7" t="inlineStr">
        <is>
          <t>Notes</t>
        </is>
      </c>
      <c r="G4" s="82" t="inlineStr">
        <is>
          <t>Line</t>
        </is>
      </c>
      <c r="H4" s="82" t="inlineStr">
        <is>
          <t>Description</t>
        </is>
      </c>
      <c r="I4" s="82" t="inlineStr">
        <is>
          <t>CAV cost ex GST</t>
        </is>
      </c>
      <c r="J4" s="82" t="inlineStr">
        <is>
          <t>Claim 1 claimed</t>
        </is>
      </c>
      <c r="K4" s="82" t="inlineStr">
        <is>
          <t>GC verified</t>
        </is>
      </c>
      <c r="L4" s="82" t="inlineStr">
        <is>
          <t>Balance held</t>
        </is>
      </c>
    </row>
    <row r="5">
      <c r="A5" s="22" t="inlineStr">
        <is>
          <t>Hardware</t>
        </is>
      </c>
      <c r="G5" t="inlineStr">
        <is>
          <t>CTS PO PO-00016902</t>
        </is>
      </c>
      <c r="H5" t="inlineStr">
        <is>
          <t>Main PO 1 of 2 - seminar room audio upgrade</t>
        </is>
      </c>
      <c r="I5" s="154" t="n">
        <v>177457.98</v>
      </c>
      <c r="J5" s="154" t="n">
        <v>177457.98</v>
      </c>
      <c r="K5" s="154" t="n">
        <v>140320.33</v>
      </c>
      <c r="L5" s="154" t="n">
        <v>37137.65</v>
      </c>
    </row>
    <row r="6">
      <c r="A6" s="18" t="inlineStr">
        <is>
          <t xml:space="preserve">   Crestron DM-NVX-E30 4K network AV encoder</t>
        </is>
      </c>
      <c r="B6" s="45" t="n">
        <v>6</v>
      </c>
      <c r="C6" s="143" t="n">
        <v>1345.56</v>
      </c>
      <c r="D6" s="143">
        <f>B6*C6</f>
        <v>8073.36</v>
      </c>
      <c r="G6" t="inlineStr">
        <is>
          <t>CTS PO PO-00016899</t>
        </is>
      </c>
      <c r="H6" t="inlineStr">
        <is>
          <t>PO 2 of 2 - camera upgrade, not yet billed</t>
        </is>
      </c>
      <c r="I6" s="154" t="n">
        <v>17700.52</v>
      </c>
      <c r="J6" s="154" t="n">
        <v>0</v>
      </c>
      <c r="K6" s="154" t="n">
        <v>0</v>
      </c>
      <c r="L6" s="154" t="n">
        <v>0</v>
      </c>
    </row>
    <row r="7">
      <c r="A7" s="18" t="inlineStr">
        <is>
          <t xml:space="preserve">   Crestron DM-NVX-385 AV-over-IP switcher</t>
        </is>
      </c>
      <c r="B7" s="45" t="n">
        <v>2</v>
      </c>
      <c r="C7" s="143" t="n">
        <v>3390.25</v>
      </c>
      <c r="D7" s="143">
        <f>B7*C7</f>
        <v>6780.5</v>
      </c>
      <c r="G7" t="inlineStr">
        <is>
          <t>CAV Vary 1.1</t>
        </is>
      </c>
      <c r="H7" s="84" t="inlineStr">
        <is>
          <t>Removed Panasonic cameras &amp; licences</t>
        </is>
      </c>
      <c r="I7" s="154" t="n">
        <v>-7281.07</v>
      </c>
      <c r="J7" s="154" t="n">
        <v>-7281.07</v>
      </c>
      <c r="K7" s="155" t="n">
        <v>-7281.07</v>
      </c>
      <c r="L7" s="154" t="n">
        <v>0</v>
      </c>
    </row>
    <row r="8">
      <c r="A8" s="18" t="inlineStr">
        <is>
          <t xml:space="preserve">   Crestron DM-NVX-360 encoder/decoder</t>
        </is>
      </c>
      <c r="B8" s="45" t="n">
        <v>8</v>
      </c>
      <c r="C8" s="143" t="n">
        <v>2144.14</v>
      </c>
      <c r="D8" s="143">
        <f>B8*C8</f>
        <v>17153.12</v>
      </c>
      <c r="G8" t="inlineStr">
        <is>
          <t>CAV Vary 1.2</t>
        </is>
      </c>
      <c r="H8" t="inlineStr">
        <is>
          <t>RMB hardware added (mount kit)</t>
        </is>
      </c>
      <c r="I8" s="154" t="n">
        <v>321.5</v>
      </c>
      <c r="J8" s="154" t="n">
        <v>321.5</v>
      </c>
      <c r="K8" s="155" t="n">
        <v>321.5</v>
      </c>
      <c r="L8" s="154" t="n">
        <v>0</v>
      </c>
    </row>
    <row r="9">
      <c r="A9" s="18" t="inlineStr">
        <is>
          <t xml:space="preserve">   Panasonic AW-UE40 4K integrated camera</t>
        </is>
      </c>
      <c r="B9" s="45" t="n">
        <v>4</v>
      </c>
      <c r="C9" s="143" t="n">
        <v>4063.96</v>
      </c>
      <c r="D9" s="143">
        <f>B9*C9</f>
        <v>16255.84</v>
      </c>
      <c r="G9" t="inlineStr">
        <is>
          <t>CAV Vary 1.3</t>
        </is>
      </c>
      <c r="H9" t="inlineStr">
        <is>
          <t>Removed control processor (Crestron CP4N)</t>
        </is>
      </c>
      <c r="I9" s="154" t="n">
        <v>-3032.23</v>
      </c>
      <c r="J9" s="154" t="n">
        <v>-3032.23</v>
      </c>
      <c r="K9" s="155" t="n">
        <v>-3032.23</v>
      </c>
      <c r="L9" s="154" t="n">
        <v>0</v>
      </c>
    </row>
    <row r="10">
      <c r="A10" s="18" t="inlineStr">
        <is>
          <t xml:space="preserve">   Crestron UC-C100-T Teams Rooms integrator kit</t>
        </is>
      </c>
      <c r="B10" s="45" t="n">
        <v>2</v>
      </c>
      <c r="C10" s="143" t="n">
        <v>5350.41</v>
      </c>
      <c r="D10" s="143">
        <f>B10*C10</f>
        <v>10700.82</v>
      </c>
      <c r="G10" t="inlineStr">
        <is>
          <t>CAV Vary 1.4</t>
        </is>
      </c>
      <c r="H10" t="inlineStr">
        <is>
          <t>Removed camera Crestron decoder</t>
        </is>
      </c>
      <c r="I10" s="154" t="n">
        <v>-4600.2</v>
      </c>
      <c r="J10" s="154" t="n">
        <v>-4600.2</v>
      </c>
      <c r="K10" s="155" t="n">
        <v>-4600.2</v>
      </c>
      <c r="L10" s="154" t="n">
        <v>0</v>
      </c>
    </row>
    <row r="11">
      <c r="A11" s="18" t="inlineStr">
        <is>
          <t xml:space="preserve">   Q-SYS Core 24f DSP</t>
        </is>
      </c>
      <c r="B11" s="45" t="n">
        <v>2</v>
      </c>
      <c r="C11" s="143" t="n">
        <v>8295.67</v>
      </c>
      <c r="D11" s="143">
        <f>B11*C11</f>
        <v>16591.34</v>
      </c>
      <c r="G11" t="inlineStr">
        <is>
          <t>CAV Vary 1.5</t>
        </is>
      </c>
      <c r="H11" t="inlineStr">
        <is>
          <t>Rack cabling</t>
        </is>
      </c>
      <c r="I11" s="154" t="n">
        <v>691.6</v>
      </c>
      <c r="J11" s="154" t="n">
        <v>691.6</v>
      </c>
      <c r="K11" s="154" t="n">
        <v>0</v>
      </c>
      <c r="L11" s="154" t="n">
        <v>691.6</v>
      </c>
    </row>
    <row r="12">
      <c r="A12" s="18" t="inlineStr">
        <is>
          <t xml:space="preserve">   Crestron DM-NAX Bluetooth audio wall plate</t>
        </is>
      </c>
      <c r="B12" s="45" t="n">
        <v>2</v>
      </c>
      <c r="C12" s="143" t="n">
        <v>815.49</v>
      </c>
      <c r="D12" s="143">
        <f>B12*C12</f>
        <v>1630.98</v>
      </c>
      <c r="G12" t="inlineStr">
        <is>
          <t>CAV Vary 1.6</t>
        </is>
      </c>
      <c r="H12" t="inlineStr">
        <is>
          <t>Graphics card (card only verified)</t>
        </is>
      </c>
      <c r="I12" s="154" t="n">
        <v>2153.7</v>
      </c>
      <c r="J12" s="154" t="n">
        <v>2153.7</v>
      </c>
      <c r="K12" s="154" t="n">
        <v>713.7</v>
      </c>
      <c r="L12" s="154" t="n">
        <v>1440</v>
      </c>
    </row>
    <row r="13">
      <c r="A13" s="18" t="inlineStr">
        <is>
          <t xml:space="preserve">   Crestron FP-G1-B-T face plate</t>
        </is>
      </c>
      <c r="B13" s="45" t="n">
        <v>2</v>
      </c>
      <c r="C13" s="143" t="n">
        <v>21</v>
      </c>
      <c r="D13" s="143">
        <f>B13*C13</f>
        <v>42</v>
      </c>
      <c r="G13" t="inlineStr">
        <is>
          <t>CAV Vary 1.7</t>
        </is>
      </c>
      <c r="H13" t="inlineStr">
        <is>
          <t>Lighting integration programming</t>
        </is>
      </c>
      <c r="I13" s="154" t="n">
        <v>1064</v>
      </c>
      <c r="J13" s="154" t="n">
        <v>1064</v>
      </c>
      <c r="K13" s="154" t="n">
        <v>0</v>
      </c>
      <c r="L13" s="154" t="n">
        <v>1064</v>
      </c>
    </row>
    <row r="14">
      <c r="A14" s="18" t="inlineStr">
        <is>
          <t xml:space="preserve">   Crestron TSS-880 room scheduling touch screen</t>
        </is>
      </c>
      <c r="B14" s="45" t="n">
        <v>2</v>
      </c>
      <c r="C14" s="143" t="n">
        <v>1223.23</v>
      </c>
      <c r="D14" s="143">
        <f>B14*C14</f>
        <v>2446.46</v>
      </c>
      <c r="G14" t="inlineStr">
        <is>
          <t>Total</t>
        </is>
      </c>
      <c r="I14" s="154">
        <f>SUM(I5:I13)</f>
        <v>184475.8</v>
      </c>
      <c r="J14" s="154">
        <f>SUM(J5:J13)</f>
        <v>166775.28</v>
      </c>
      <c r="K14" s="156">
        <f>SUM(K5:K13)</f>
        <v>126442.02999999998</v>
      </c>
      <c r="L14" s="154">
        <f>SUM(L5:L13)</f>
        <v>40333.25</v>
      </c>
      <c r="O14" s="157" t="n"/>
    </row>
    <row r="15">
      <c r="A15" s="18" t="inlineStr">
        <is>
          <t xml:space="preserve">   Crestron TSW-1080 wall mount touch screen</t>
        </is>
      </c>
      <c r="B15" s="45" t="n">
        <v>2</v>
      </c>
      <c r="C15" s="143" t="n">
        <v>3186.38</v>
      </c>
      <c r="D15" s="143">
        <f>B15*C15</f>
        <v>6372.76</v>
      </c>
      <c r="I15" s="154" t="n"/>
      <c r="J15" s="154" t="n"/>
      <c r="K15" s="154">
        <f>K14-126442.03</f>
        <v>-1.4551915228366852e-11</v>
      </c>
      <c r="L15" s="154" t="n"/>
    </row>
    <row r="16">
      <c r="A16" s="18" t="inlineStr">
        <is>
          <t xml:space="preserve">   Crestron CP4N control system</t>
        </is>
      </c>
      <c r="B16" s="45" t="n">
        <v>1</v>
      </c>
      <c r="C16" s="143" t="n">
        <v>3032.23</v>
      </c>
      <c r="D16" s="143">
        <f>B16*C16</f>
        <v>3032.23</v>
      </c>
      <c r="I16" s="154" t="n"/>
      <c r="J16" s="158" t="n"/>
      <c r="K16" s="159" t="n"/>
      <c r="L16" s="154" t="n"/>
    </row>
    <row r="17">
      <c r="A17" s="18" t="inlineStr">
        <is>
          <t xml:space="preserve">   Netgear M4250 PoE+ managed switch</t>
        </is>
      </c>
      <c r="B17" s="45" t="n">
        <v>2</v>
      </c>
      <c r="C17" s="143" t="n">
        <v>3179.58</v>
      </c>
      <c r="D17" s="143">
        <f>B17*C17</f>
        <v>6359.16</v>
      </c>
      <c r="K17" s="82" t="inlineStr">
        <is>
          <t xml:space="preserve">Amount to Pay </t>
        </is>
      </c>
      <c r="L17" s="82" t="inlineStr">
        <is>
          <t xml:space="preserve">Amount to Hold </t>
        </is>
      </c>
    </row>
    <row r="18">
      <c r="A18" s="18" t="inlineStr">
        <is>
          <t xml:space="preserve">   Netgear AXC761 SFP+ transceiver</t>
        </is>
      </c>
      <c r="B18" s="45" t="n">
        <v>2</v>
      </c>
      <c r="C18" s="143" t="n">
        <v>121.46</v>
      </c>
      <c r="D18" s="143">
        <f>B18*C18</f>
        <v>242.92</v>
      </c>
      <c r="G18" s="87" t="inlineStr">
        <is>
          <t>GST 10%</t>
        </is>
      </c>
      <c r="K18" s="160">
        <f>ROUND(K14*0.1,2)</f>
        <v>12644.2</v>
      </c>
      <c r="L18" s="161">
        <f>ROUND(L14*0.1,2)</f>
        <v>4033.33</v>
      </c>
    </row>
    <row r="19">
      <c r="A19" s="18" t="inlineStr">
        <is>
          <t xml:space="preserve">   Crestron DM-NVX-E30 encoder (second batch)</t>
        </is>
      </c>
      <c r="B19" s="45" t="n">
        <v>2</v>
      </c>
      <c r="C19" s="143" t="n">
        <v>1517.06</v>
      </c>
      <c r="D19" s="143">
        <f>B19*C19</f>
        <v>3034.12</v>
      </c>
      <c r="G19" s="89" t="inlineStr">
        <is>
          <t>PAYING NOW (incl GST)</t>
        </is>
      </c>
      <c r="H19" s="54" t="n"/>
      <c r="I19" s="54" t="n"/>
      <c r="J19" s="54" t="n"/>
      <c r="K19" s="162">
        <f>K14+K18</f>
        <v>139086.22999999998</v>
      </c>
      <c r="L19" s="163">
        <f>L14+L18</f>
        <v>44366.58</v>
      </c>
    </row>
    <row r="20">
      <c r="A20" s="18" t="inlineStr">
        <is>
          <t xml:space="preserve">   Panasonic AW-SF200Z auto tracking software</t>
        </is>
      </c>
      <c r="B20" s="45" t="n">
        <v>1</v>
      </c>
      <c r="C20" s="143" t="n">
        <v>2541.01</v>
      </c>
      <c r="D20" s="143">
        <f>B20*C20</f>
        <v>2541.01</v>
      </c>
      <c r="G20" s="91" t="n"/>
      <c r="H20" s="92" t="n"/>
      <c r="I20" s="92" t="n"/>
      <c r="J20" s="92" t="n"/>
      <c r="K20" s="163" t="n"/>
      <c r="L20" s="163" t="n"/>
    </row>
    <row r="21">
      <c r="A21" s="18" t="inlineStr">
        <is>
          <t xml:space="preserve">   Panasonic AW-SF300Z visual preset software</t>
        </is>
      </c>
      <c r="B21" s="45" t="n">
        <v>1</v>
      </c>
      <c r="C21" s="143" t="n">
        <v>1921.47</v>
      </c>
      <c r="D21" s="143">
        <f>B21*C21</f>
        <v>1921.47</v>
      </c>
      <c r="G21" s="91" t="inlineStr">
        <is>
          <t>Xero Supplier Invoice Amount INV41565 ( Complete AV Solutions)</t>
        </is>
      </c>
      <c r="H21" s="92" t="n"/>
      <c r="I21" s="92" t="n"/>
      <c r="J21" s="92" t="n"/>
      <c r="K21" s="163" t="n"/>
      <c r="L21" s="163">
        <f>D59</f>
        <v>178119.25</v>
      </c>
    </row>
    <row r="22">
      <c r="A22" s="18" t="inlineStr">
        <is>
          <t xml:space="preserve">   Panasonic AW-SF501Z auto framing software</t>
        </is>
      </c>
      <c r="B22" s="45" t="n">
        <v>1</v>
      </c>
      <c r="C22" s="143" t="n">
        <v>5309.33</v>
      </c>
      <c r="D22" s="143">
        <f>B22*C22</f>
        <v>5309.33</v>
      </c>
      <c r="G22" s="94" t="inlineStr">
        <is>
          <t>NOT YET BILLED - $4,848.68 ex GST / $5,333.55 inc GST. Complete AV's own "remaining claim balance to be invoiced" line on INV41565. Not in Xero yet, so not in the forecast. Will come as a new bill; add it to Payables when it lands.</t>
        </is>
      </c>
      <c r="H22" s="94" t="n"/>
      <c r="I22" s="94" t="n"/>
      <c r="J22" s="94" t="n"/>
      <c r="K22" s="94" t="n"/>
      <c r="L22" s="164">
        <f>SUM(K19:L19)-L21</f>
        <v>5333.559999999998</v>
      </c>
    </row>
    <row r="23">
      <c r="A23" s="18" t="inlineStr">
        <is>
          <t xml:space="preserve">   Precision Computers 4U rack-mount PC</t>
        </is>
      </c>
      <c r="B23" s="45" t="n">
        <v>1</v>
      </c>
      <c r="C23" s="143" t="n">
        <v>3883.95</v>
      </c>
      <c r="D23" s="143">
        <f>B23*C23</f>
        <v>3883.95</v>
      </c>
    </row>
    <row r="24">
      <c r="A24" s="18" t="inlineStr">
        <is>
          <t xml:space="preserve">   Sennheiser TeamConnect Ceiling 2 mic</t>
        </is>
      </c>
      <c r="B24" s="45" t="n">
        <v>4</v>
      </c>
      <c r="C24" s="143" t="n">
        <v>5946.65</v>
      </c>
      <c r="D24" s="143">
        <f>B24*C24</f>
        <v>23786.6</v>
      </c>
    </row>
    <row r="25">
      <c r="A25" s="18" t="inlineStr">
        <is>
          <t xml:space="preserve">   Q-SYS Dante 16x16 licence</t>
        </is>
      </c>
      <c r="B25" s="45" t="n">
        <v>1</v>
      </c>
      <c r="C25" s="143" t="n">
        <v>743.84</v>
      </c>
      <c r="D25" s="143">
        <f>B25*C25</f>
        <v>743.84</v>
      </c>
    </row>
    <row r="26">
      <c r="A26" s="18" t="inlineStr">
        <is>
          <t xml:space="preserve">   Graphics card</t>
        </is>
      </c>
      <c r="B26" s="45" t="n">
        <v>1</v>
      </c>
      <c r="C26" s="143" t="n">
        <v>2153.7</v>
      </c>
      <c r="D26" s="143">
        <f>B26*C26</f>
        <v>2153.7</v>
      </c>
    </row>
    <row r="27">
      <c r="A27" s="18" t="inlineStr">
        <is>
          <t xml:space="preserve">   RMB hardware added</t>
        </is>
      </c>
      <c r="B27" s="45" t="n">
        <v>1</v>
      </c>
      <c r="C27" s="143" t="n">
        <v>321.5</v>
      </c>
      <c r="D27" s="143">
        <f>B27*C27</f>
        <v>321.5</v>
      </c>
    </row>
    <row r="28">
      <c r="A28" s="18" t="inlineStr">
        <is>
          <t xml:space="preserve">   Less: removed Panasonic cameras &amp; licences</t>
        </is>
      </c>
      <c r="B28" s="45" t="n">
        <v>1</v>
      </c>
      <c r="C28" s="143" t="n">
        <v>-7281.07</v>
      </c>
      <c r="D28" s="143">
        <f>B28*C28</f>
        <v>-7281.07</v>
      </c>
    </row>
    <row r="29">
      <c r="A29" s="18" t="inlineStr">
        <is>
          <t xml:space="preserve">   Less: removed control processor</t>
        </is>
      </c>
      <c r="B29" s="45" t="n">
        <v>1</v>
      </c>
      <c r="C29" s="143" t="n">
        <v>-3032.23</v>
      </c>
      <c r="D29" s="143">
        <f>B29*C29</f>
        <v>-3032.23</v>
      </c>
    </row>
    <row r="30">
      <c r="A30" s="18" t="inlineStr">
        <is>
          <t xml:space="preserve">   Less: removed camera Crestron decoder</t>
        </is>
      </c>
      <c r="B30" s="45" t="n">
        <v>1</v>
      </c>
      <c r="C30" s="143" t="n">
        <v>-4600.2</v>
      </c>
      <c r="D30" s="143">
        <f>B30*C30</f>
        <v>-4600.2</v>
      </c>
    </row>
    <row r="31">
      <c r="A31" s="9" t="inlineStr">
        <is>
          <t>Hardware subtotal</t>
        </is>
      </c>
      <c r="B31" s="12" t="n"/>
      <c r="C31" s="12" t="n"/>
      <c r="D31" s="165">
        <f>SUM(D6:D30)</f>
        <v>124463.51</v>
      </c>
      <c r="E31" s="12" t="n"/>
    </row>
    <row r="32">
      <c r="A32" s="22" t="inlineStr">
        <is>
          <t>Consumables and delivery</t>
        </is>
      </c>
      <c r="D32" s="81" t="n"/>
      <c r="E32" s="81" t="n"/>
    </row>
    <row r="33">
      <c r="A33" s="18" t="inlineStr">
        <is>
          <t xml:space="preserve">   Cables, fixings and hardware (4 lines: $1,515.30 + $696.24 + $934.08 + $691.60)</t>
        </is>
      </c>
      <c r="D33" s="143" t="n">
        <v>3837.22</v>
      </c>
      <c r="E33" s="81" t="n"/>
    </row>
    <row r="34">
      <c r="A34" s="18" t="inlineStr">
        <is>
          <t xml:space="preserve">   Freight &amp; handling (3 lines: $100.00 + $53.20 + $59.85)</t>
        </is>
      </c>
      <c r="D34" s="143" t="n">
        <v>213.05</v>
      </c>
      <c r="E34" s="81" t="n"/>
    </row>
    <row r="35">
      <c r="A35" s="18" t="inlineStr">
        <is>
          <t xml:space="preserve">   E-waste / waste management (3 lines: $59.85 + $39.90 + $19.95)</t>
        </is>
      </c>
      <c r="D35" s="143" t="n">
        <v>119.7</v>
      </c>
      <c r="E35" s="81" t="n"/>
    </row>
    <row r="36">
      <c r="A36" s="9" t="inlineStr">
        <is>
          <t>Consumables subtotal</t>
        </is>
      </c>
      <c r="B36" s="12" t="n"/>
      <c r="C36" s="12" t="n"/>
      <c r="D36" s="165">
        <f>SUM(D33:D35)</f>
        <v>4169.97</v>
      </c>
      <c r="E36" s="12" t="n"/>
    </row>
    <row r="40">
      <c r="A40" s="13" t="inlineStr">
        <is>
          <t>Materials subtotal (ex GST)</t>
        </is>
      </c>
      <c r="B40" s="16" t="n"/>
      <c r="C40" s="16" t="n"/>
      <c r="D40" s="142">
        <f>D31+D36</f>
        <v>128633.48</v>
      </c>
      <c r="E40" s="16" t="n"/>
    </row>
    <row r="41" ht="36" customHeight="1" s="109">
      <c r="A41" s="18" t="inlineStr">
        <is>
          <t>Less: Complete AV's own line 'Remaining claim balance $4,848.68 to be invoiced'</t>
        </is>
      </c>
      <c r="D41" s="138" t="n">
        <v>-4848.68</v>
      </c>
      <c r="E41" s="115" t="inlineStr">
        <is>
          <t>Their reduction, not allocated to anything. Taken off the part we're paying now - conservative. If you'd rather take it off the held labour, pay $141,496.83 and hold $36,622.43.</t>
        </is>
      </c>
    </row>
    <row r="42">
      <c r="A42" s="22" t="inlineStr">
        <is>
          <t>Materials net (ex GST)</t>
        </is>
      </c>
      <c r="D42" s="166">
        <f>D40+D41</f>
        <v>123784.79999999999</v>
      </c>
    </row>
    <row r="43">
      <c r="A43" s="18" t="inlineStr">
        <is>
          <t>GST 10%</t>
        </is>
      </c>
      <c r="D43" s="143">
        <f>ROUND(D42*0.1,2)</f>
        <v>12378.48</v>
      </c>
    </row>
    <row r="44">
      <c r="A44" s="52" t="inlineStr">
        <is>
          <t>PAYING NOW (incl GST)</t>
        </is>
      </c>
      <c r="B44" s="54" t="n"/>
      <c r="C44" s="54" t="n"/>
      <c r="D44" s="167">
        <f>D42+D43</f>
        <v>136163.28</v>
      </c>
      <c r="E44" s="54" t="n"/>
    </row>
    <row r="46">
      <c r="A46" s="52" t="inlineStr">
        <is>
          <t>Pay on</t>
        </is>
      </c>
      <c r="B46" s="54" t="n"/>
      <c r="C46" s="54" t="n"/>
      <c r="D46" s="168" t="n">
        <v>46295</v>
      </c>
      <c r="E46" s="55" t="n"/>
    </row>
    <row r="48">
      <c r="A48" s="7" t="inlineStr">
        <is>
          <t>LABOUR AND PROGRAMMING - was held, released and PAID Thu 8 Oct</t>
        </is>
      </c>
      <c r="B48" s="114" t="n"/>
      <c r="C48" s="114" t="n"/>
      <c r="D48" s="114" t="n"/>
      <c r="E48" s="114" t="n"/>
    </row>
    <row r="49">
      <c r="A49" s="18" t="inlineStr">
        <is>
          <t xml:space="preserve">   Labour &amp; programming</t>
        </is>
      </c>
      <c r="D49" s="138" t="n">
        <v>23320</v>
      </c>
    </row>
    <row r="50">
      <c r="A50" s="18" t="inlineStr">
        <is>
          <t xml:space="preserve">   Labour</t>
        </is>
      </c>
      <c r="D50" s="138" t="n">
        <v>7196</v>
      </c>
    </row>
    <row r="51">
      <c r="A51" s="18" t="inlineStr">
        <is>
          <t xml:space="preserve">   Labour</t>
        </is>
      </c>
      <c r="D51" s="138" t="n">
        <v>6561.8</v>
      </c>
    </row>
    <row r="52">
      <c r="A52" s="18" t="inlineStr">
        <is>
          <t xml:space="preserve">   Lighting integration programming (coded to equipment in Xero, but it's programming)</t>
        </is>
      </c>
      <c r="D52" s="138" t="n">
        <v>1064</v>
      </c>
    </row>
    <row r="53">
      <c r="A53" s="9" t="inlineStr">
        <is>
          <t>Held (ex GST)</t>
        </is>
      </c>
      <c r="B53" s="12" t="n"/>
      <c r="C53" s="12" t="n"/>
      <c r="D53" s="165">
        <f>SUM(D49:D52)</f>
        <v>38141.8</v>
      </c>
      <c r="E53" s="12" t="n"/>
    </row>
    <row r="54">
      <c r="A54" s="18" t="inlineStr">
        <is>
          <t>GST 10%</t>
        </is>
      </c>
      <c r="D54" s="143">
        <f>ROUND(D53*0.1,2)</f>
        <v>3814.18</v>
      </c>
    </row>
    <row r="55">
      <c r="A55" s="65" t="inlineStr">
        <is>
          <t>HELD (incl GST)</t>
        </is>
      </c>
      <c r="B55" s="67" t="n"/>
      <c r="C55" s="67" t="n"/>
      <c r="D55" s="169">
        <f>D53+D54</f>
        <v>41955.98</v>
      </c>
      <c r="E55" s="67" t="n"/>
    </row>
    <row r="57">
      <c r="A57" s="22" t="inlineStr">
        <is>
          <t>Check</t>
        </is>
      </c>
    </row>
    <row r="58">
      <c r="A58" s="18" t="inlineStr">
        <is>
          <t xml:space="preserve">   Paying now + held</t>
        </is>
      </c>
      <c r="D58" s="143">
        <f>D44+D55</f>
        <v>178119.26</v>
      </c>
    </row>
    <row r="59">
      <c r="A59" s="18" t="inlineStr">
        <is>
          <t xml:space="preserve">   Bill total per Xero</t>
        </is>
      </c>
      <c r="D59" s="138" t="n">
        <v>178119.25</v>
      </c>
    </row>
    <row r="60">
      <c r="A60" s="18" t="inlineStr">
        <is>
          <t xml:space="preserve">   Difference (rounding)</t>
        </is>
      </c>
      <c r="D60" s="143">
        <f>D58-D59</f>
        <v>0.010000000009313226</v>
      </c>
    </row>
    <row r="62" ht="44.1" customHeight="1" s="109">
      <c r="A62" s="115" t="n"/>
    </row>
  </sheetData>
  <mergeCells count="3">
    <mergeCell ref="A2:E2"/>
    <mergeCell ref="A62:E62"/>
    <mergeCell ref="G2:K2"/>
  </mergeCells>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2026-09-29T01:26:18Z</dcterms:created>
  <dcterms:modified xsi:type="dcterms:W3CDTF">2026-10-29T07:10:33Z</dcterms:modified>
  <cp:lastModifiedBy>Danica Nelson</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0x01010095D8E4D2559E924A87A79F54B9BAD5BE</vt:lpwstr>
  </property>
  <property name="MediaServiceImageTags" fmtid="{D5CDD505-2E9C-101B-9397-08002B2CF9AE}" pid="3">
    <vt:lpwstr/>
  </property>
</Properties>
</file>